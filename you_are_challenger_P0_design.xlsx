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X:\project\you-are-challenger\"/>
    </mc:Choice>
  </mc:AlternateContent>
  <xr:revisionPtr revIDLastSave="0" documentId="13_ncr:1_{F7458891-AE7D-4CBD-9015-240AFB22BD9A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00_阅读说明" sheetId="1" r:id="rId1"/>
    <sheet name="01_规则台账" sheetId="2" r:id="rId2"/>
    <sheet name="02_乐趣与范围" sheetId="3" r:id="rId3"/>
    <sheet name="03_单人流程" sheetId="4" r:id="rId4"/>
    <sheet name="04_角色操控" sheetId="5" r:id="rId5"/>
    <sheet name="05_Boss规格" sheetId="6" r:id="rId6"/>
    <sheet name="06_外围支援提案" sheetId="7" r:id="rId7"/>
    <sheet name="07_物品与箱子" sheetId="8" r:id="rId8"/>
    <sheet name="08_开发任务" sheetId="9" r:id="rId9"/>
    <sheet name="09_验收用例" sheetId="10" r:id="rId10"/>
    <sheet name="10_试玩记录" sheetId="11" r:id="rId11"/>
    <sheet name="11_参数与进度" sheetId="12" r:id="rId12"/>
    <sheet name="12_决策与变更" sheetId="13" r:id="rId13"/>
  </sheets>
  <definedNames>
    <definedName name="_xlnm._FilterDatabase" localSheetId="0" hidden="1">'00_阅读说明'!$A$5:$D$17</definedName>
    <definedName name="_xlnm._FilterDatabase" localSheetId="1" hidden="1">'01_规则台账'!$A$5:$F$33</definedName>
    <definedName name="_xlnm._FilterDatabase" localSheetId="2" hidden="1">'02_乐趣与范围'!$A$5:$E$20</definedName>
    <definedName name="_xlnm._FilterDatabase" localSheetId="3" hidden="1">'03_单人流程'!$A$5:$E$17</definedName>
    <definedName name="_xlnm._FilterDatabase" localSheetId="4" hidden="1">'04_角色操控'!$A$5:$E$19</definedName>
    <definedName name="_xlnm._FilterDatabase" localSheetId="5" hidden="1">'05_Boss规格'!$A$5:$E$19</definedName>
    <definedName name="_xlnm._FilterDatabase" localSheetId="6" hidden="1">'06_外围支援提案'!$A$5:$E$19</definedName>
    <definedName name="_xlnm._FilterDatabase" localSheetId="7" hidden="1">'07_物品与箱子'!$A$5:$E$19</definedName>
    <definedName name="_xlnm._FilterDatabase" localSheetId="8" hidden="1">'08_开发任务'!$A$5:$H$24</definedName>
    <definedName name="_xlnm._FilterDatabase" localSheetId="9" hidden="1">'09_验收用例'!$A$5:$G$27</definedName>
    <definedName name="_xlnm._FilterDatabase" localSheetId="10" hidden="1">'10_试玩记录'!$A$5:$L$25</definedName>
    <definedName name="_xlnm._FilterDatabase" localSheetId="11" hidden="1">'11_参数与进度'!$A$5:$F$57</definedName>
    <definedName name="_xlnm._FilterDatabase" localSheetId="12" hidden="1">'12_决策与变更'!$A$5:$E$29</definedName>
    <definedName name="_xlnm.Print_Area" localSheetId="11">'11_参数与进度'!$A$1:$F$57</definedName>
    <definedName name="_xlnm.Print_Area" localSheetId="12">'12_决策与变更'!$A$1:$E$25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9" i="12" l="1"/>
  <c r="C50" i="12" s="1"/>
  <c r="C47" i="12"/>
  <c r="C46" i="12"/>
  <c r="C48" i="12" s="1"/>
  <c r="C44" i="12"/>
  <c r="C43" i="12"/>
  <c r="C39" i="12"/>
  <c r="C33" i="12"/>
  <c r="C27" i="12"/>
  <c r="C22" i="12"/>
  <c r="C19" i="12"/>
  <c r="C8" i="12"/>
  <c r="J25" i="11"/>
  <c r="J24" i="11"/>
  <c r="J23" i="11"/>
  <c r="J22" i="11"/>
  <c r="J21" i="11"/>
  <c r="J20" i="11"/>
  <c r="J19" i="11"/>
  <c r="J18" i="11"/>
  <c r="J17" i="11"/>
  <c r="J16" i="11"/>
  <c r="J15" i="11"/>
  <c r="J14" i="11"/>
  <c r="J13" i="11"/>
  <c r="J12" i="11"/>
  <c r="J11" i="11"/>
  <c r="J10" i="11"/>
  <c r="J9" i="11"/>
  <c r="J8" i="11"/>
  <c r="J7" i="11"/>
  <c r="J6" i="11"/>
  <c r="C45" i="1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设计基线</author>
  </authors>
  <commentList>
    <comment ref="C6" authorId="0" shapeId="0" xr:uid="{00000000-0006-0000-0B00-000001000000}">
      <text>
        <r>
          <rPr>
            <sz val="11"/>
            <color theme="1"/>
            <rFont val="Calibri"/>
            <family val="2"/>
          </rPr>
          <t>来源：用户规则在P0的取值；仅用于箱容量；不是正式人数上限</t>
        </r>
      </text>
    </comment>
    <comment ref="C7" authorId="0" shapeId="0" xr:uid="{00000000-0006-0000-0B00-000002000000}">
      <text>
        <r>
          <rPr>
            <sz val="11"/>
            <color theme="1"/>
            <rFont val="Calibri"/>
            <family val="2"/>
          </rPr>
          <t>来源：用户确认；箱容量=人数×2</t>
        </r>
      </text>
    </comment>
    <comment ref="C8" authorId="0" shapeId="0" xr:uid="{00000000-0006-0000-0B00-000003000000}">
      <text>
        <r>
          <rPr>
            <sz val="11"/>
            <color theme="1"/>
            <rFont val="Calibri"/>
            <family val="2"/>
          </rPr>
          <t>来源：公式；根据开局人数和每人格数计算</t>
        </r>
      </text>
    </comment>
    <comment ref="C9" authorId="0" shapeId="0" xr:uid="{00000000-0006-0000-0B00-000004000000}">
      <text>
        <r>
          <rPr>
            <sz val="11"/>
            <color theme="1"/>
            <rFont val="Calibri"/>
            <family val="2"/>
          </rPr>
          <t>来源：用户确认；不叠加隐藏副武器</t>
        </r>
      </text>
    </comment>
    <comment ref="C10" authorId="0" shapeId="0" xr:uid="{00000000-0006-0000-0B00-000005000000}">
      <text>
        <r>
          <rPr>
            <sz val="11"/>
            <color theme="1"/>
            <rFont val="Calibri"/>
            <family val="2"/>
          </rPr>
          <t>来源：用户确认；不设额外背包</t>
        </r>
      </text>
    </comment>
    <comment ref="C11" authorId="0" shapeId="0" xr:uid="{00000000-0006-0000-0B00-000006000000}">
      <text>
        <r>
          <rPr>
            <sz val="11"/>
            <color theme="1"/>
            <rFont val="Calibri"/>
            <family val="2"/>
          </rPr>
          <t>来源：用户确认；新一轮才重置</t>
        </r>
      </text>
    </comment>
    <comment ref="C12" authorId="0" shapeId="0" xr:uid="{00000000-0006-0000-0B00-000007000000}">
      <text>
        <r>
          <rPr>
            <sz val="11"/>
            <color theme="1"/>
            <rFont val="Calibri"/>
            <family val="2"/>
          </rPr>
          <t>来源：策划测试初值；未经过真实试玩校准</t>
        </r>
      </text>
    </comment>
    <comment ref="C13" authorId="0" shapeId="0" xr:uid="{00000000-0006-0000-0B00-000008000000}">
      <text>
        <r>
          <rPr>
            <sz val="11"/>
            <color theme="1"/>
            <rFont val="Calibri"/>
            <family val="2"/>
          </rPr>
          <t>来源：策划测试初值；与翻滚成本共同调试</t>
        </r>
      </text>
    </comment>
    <comment ref="C14" authorId="0" shapeId="0" xr:uid="{00000000-0006-0000-0B00-000009000000}">
      <text>
        <r>
          <rPr>
            <sz val="11"/>
            <color theme="1"/>
            <rFont val="Calibri"/>
            <family val="2"/>
          </rPr>
          <t>来源：策划测试初值；随实际角色/场地尺度修正</t>
        </r>
      </text>
    </comment>
    <comment ref="C15" authorId="0" shapeId="0" xr:uid="{00000000-0006-0000-0B00-00000A000000}">
      <text>
        <r>
          <rPr>
            <sz val="11"/>
            <color theme="1"/>
            <rFont val="Calibri"/>
            <family val="2"/>
          </rPr>
          <t>来源：策划测试初值；不能通过负数精力免费执行</t>
        </r>
      </text>
    </comment>
    <comment ref="C16" authorId="0" shapeId="0" xr:uid="{00000000-0006-0000-0B00-00000B000000}">
      <text>
        <r>
          <rPr>
            <sz val="11"/>
            <color theme="1"/>
            <rFont val="Calibri"/>
            <family val="2"/>
          </rPr>
          <t>来源：策划测试初值；与无敌区间分离</t>
        </r>
      </text>
    </comment>
    <comment ref="C17" authorId="0" shapeId="0" xr:uid="{00000000-0006-0000-0B00-00000C000000}">
      <text>
        <r>
          <rPr>
            <sz val="11"/>
            <color theme="1"/>
            <rFont val="Calibri"/>
            <family val="2"/>
          </rPr>
          <t>来源：策划测试初值；相对翻滚动作开始</t>
        </r>
      </text>
    </comment>
    <comment ref="C18" authorId="0" shapeId="0" xr:uid="{00000000-0006-0000-0B00-00000D000000}">
      <text>
        <r>
          <rPr>
            <sz val="11"/>
            <color theme="1"/>
            <rFont val="Calibri"/>
            <family val="2"/>
          </rPr>
          <t>来源：策划测试初值；不得超过动作总长</t>
        </r>
      </text>
    </comment>
    <comment ref="C19" authorId="0" shapeId="0" xr:uid="{00000000-0006-0000-0B00-00000E000000}">
      <text>
        <r>
          <rPr>
            <sz val="11"/>
            <color theme="1"/>
            <rFont val="Calibri"/>
            <family val="2"/>
          </rPr>
          <t>来源：公式；起止差，非整段无敌</t>
        </r>
      </text>
    </comment>
    <comment ref="C20" authorId="0" shapeId="0" xr:uid="{00000000-0006-0000-0B00-00000F000000}">
      <text>
        <r>
          <rPr>
            <sz val="11"/>
            <color theme="1"/>
            <rFont val="Calibri"/>
            <family val="2"/>
          </rPr>
          <t>来源：策划测试初值；停止耗精力后开始恢复</t>
        </r>
      </text>
    </comment>
    <comment ref="C21" authorId="0" shapeId="0" xr:uid="{00000000-0006-0000-0B00-000010000000}">
      <text>
        <r>
          <rPr>
            <sz val="11"/>
            <color theme="1"/>
            <rFont val="Calibri"/>
            <family val="2"/>
          </rPr>
          <t>来源：策划测试初值；普通移动可恢复</t>
        </r>
      </text>
    </comment>
    <comment ref="C22" authorId="0" shapeId="0" xr:uid="{00000000-0006-0000-0B00-000011000000}">
      <text>
        <r>
          <rPr>
            <sz val="11"/>
            <color theme="1"/>
            <rFont val="Calibri"/>
            <family val="2"/>
          </rPr>
          <t>来源：公式；只计算成本，不包含期间恢复</t>
        </r>
      </text>
    </comment>
    <comment ref="C23" authorId="0" shapeId="0" xr:uid="{00000000-0006-0000-0B00-000012000000}">
      <text>
        <r>
          <rPr>
            <sz val="11"/>
            <color theme="1"/>
            <rFont val="Calibri"/>
            <family val="2"/>
          </rPr>
          <t>来源：策划测试初值；先校准时序与有效命中率</t>
        </r>
      </text>
    </comment>
    <comment ref="C24" authorId="0" shapeId="0" xr:uid="{00000000-0006-0000-0B00-000013000000}">
      <text>
        <r>
          <rPr>
            <sz val="11"/>
            <color theme="1"/>
            <rFont val="Calibri"/>
            <family val="2"/>
          </rPr>
          <t>来源：策划测试初值；单段，不制作复杂连段</t>
        </r>
      </text>
    </comment>
    <comment ref="C25" authorId="0" shapeId="0" xr:uid="{00000000-0006-0000-0B00-000014000000}">
      <text>
        <r>
          <rPr>
            <sz val="11"/>
            <color theme="1"/>
            <rFont val="Calibri"/>
            <family val="2"/>
          </rPr>
          <t>来源：策划测试初值；每攻击对同Boss一次结算</t>
        </r>
      </text>
    </comment>
    <comment ref="C26" authorId="0" shapeId="0" xr:uid="{00000000-0006-0000-0B00-000015000000}">
      <text>
        <r>
          <rPr>
            <sz val="11"/>
            <color theme="1"/>
            <rFont val="Calibri"/>
            <family val="2"/>
          </rPr>
          <t>来源：策划测试初值；禁止免费无限取消</t>
        </r>
      </text>
    </comment>
    <comment ref="C27" authorId="0" shapeId="0" xr:uid="{00000000-0006-0000-0B00-000016000000}">
      <text>
        <r>
          <rPr>
            <sz val="11"/>
            <color theme="1"/>
            <rFont val="Calibri"/>
            <family val="2"/>
          </rPr>
          <t>来源：公式；前摇＋生效＋收招</t>
        </r>
      </text>
    </comment>
    <comment ref="C28" authorId="0" shapeId="0" xr:uid="{00000000-0006-0000-0B00-000017000000}">
      <text>
        <r>
          <rPr>
            <sz val="11"/>
            <color theme="1"/>
            <rFont val="Calibri"/>
            <family val="2"/>
          </rPr>
          <t>来源：策划测试初值；需较大收招窗口</t>
        </r>
      </text>
    </comment>
    <comment ref="C29" authorId="0" shapeId="0" xr:uid="{00000000-0006-0000-0B00-000018000000}">
      <text>
        <r>
          <rPr>
            <sz val="11"/>
            <color theme="1"/>
            <rFont val="Calibri"/>
            <family val="2"/>
          </rPr>
          <t>来源：策划测试初值；基础轻击不耗精力</t>
        </r>
      </text>
    </comment>
    <comment ref="C30" authorId="0" shapeId="0" xr:uid="{00000000-0006-0000-0B00-000019000000}">
      <text>
        <r>
          <rPr>
            <sz val="11"/>
            <color theme="1"/>
            <rFont val="Calibri"/>
            <family val="2"/>
          </rPr>
          <t>来源：策划测试初值；不得到生效前随意吸附转向</t>
        </r>
      </text>
    </comment>
    <comment ref="C31" authorId="0" shapeId="0" xr:uid="{00000000-0006-0000-0B00-00001A000000}">
      <text>
        <r>
          <rPr>
            <sz val="11"/>
            <color theme="1"/>
            <rFont val="Calibri"/>
            <family val="2"/>
          </rPr>
          <t>来源：策划测试初值；一次攻击一次结算</t>
        </r>
      </text>
    </comment>
    <comment ref="C32" authorId="0" shapeId="0" xr:uid="{00000000-0006-0000-0B00-00001B000000}">
      <text>
        <r>
          <rPr>
            <sz val="11"/>
            <color theme="1"/>
            <rFont val="Calibri"/>
            <family val="2"/>
          </rPr>
          <t>来源：策划测试初值；攻击承诺的一部分</t>
        </r>
      </text>
    </comment>
    <comment ref="C33" authorId="0" shapeId="0" xr:uid="{00000000-0006-0000-0B00-00001C000000}">
      <text>
        <r>
          <rPr>
            <sz val="11"/>
            <color theme="1"/>
            <rFont val="Calibri"/>
            <family val="2"/>
          </rPr>
          <t>来源：公式；前摇＋生效＋收招</t>
        </r>
      </text>
    </comment>
    <comment ref="C34" authorId="0" shapeId="0" xr:uid="{00000000-0006-0000-0B00-00001D000000}">
      <text>
        <r>
          <rPr>
            <sz val="11"/>
            <color theme="1"/>
            <rFont val="Calibri"/>
            <family val="2"/>
          </rPr>
          <t>来源：策划测试初值；非实测最终平衡值</t>
        </r>
      </text>
    </comment>
    <comment ref="C35" authorId="0" shapeId="0" xr:uid="{00000000-0006-0000-0B00-00001E000000}">
      <text>
        <r>
          <rPr>
            <sz val="11"/>
            <color theme="1"/>
            <rFont val="Calibri"/>
            <family val="2"/>
          </rPr>
          <t>来源：策划测试初值；超时失败建议</t>
        </r>
      </text>
    </comment>
    <comment ref="C36" authorId="0" shapeId="0" xr:uid="{00000000-0006-0000-0B00-00001F000000}">
      <text>
        <r>
          <rPr>
            <sz val="11"/>
            <color theme="1"/>
            <rFont val="Calibri"/>
            <family val="2"/>
          </rPr>
          <t>来源：策划测试初值；使用一次消耗一件</t>
        </r>
      </text>
    </comment>
    <comment ref="C37" authorId="0" shapeId="0" xr:uid="{00000000-0006-0000-0B00-000020000000}">
      <text>
        <r>
          <rPr>
            <sz val="11"/>
            <color theme="1"/>
            <rFont val="Calibri"/>
            <family val="2"/>
          </rPr>
          <t>来源：策划测试初值；不超上限</t>
        </r>
      </text>
    </comment>
    <comment ref="C38" authorId="0" shapeId="0" xr:uid="{00000000-0006-0000-0B00-000021000000}">
      <text>
        <r>
          <rPr>
            <sz val="11"/>
            <color theme="1"/>
            <rFont val="Calibri"/>
            <family val="2"/>
          </rPr>
          <t>来源：策划测试初值；复起保留Boss残血与战斗用时</t>
        </r>
      </text>
    </comment>
    <comment ref="C39" authorId="0" shapeId="0" xr:uid="{00000000-0006-0000-0B00-000022000000}">
      <text>
        <r>
          <rPr>
            <sz val="11"/>
            <color theme="1"/>
            <rFont val="Calibri"/>
            <family val="2"/>
          </rPr>
          <t>来源：公式；生命上限×复起比例</t>
        </r>
      </text>
    </comment>
    <comment ref="C40" authorId="0" shapeId="0" xr:uid="{00000000-0006-0000-0B00-000023000000}">
      <text>
        <r>
          <rPr>
            <sz val="11"/>
            <color theme="1"/>
            <rFont val="Calibri"/>
            <family val="2"/>
          </rPr>
          <t>来源：未来实验初值；不属于P0必须功能</t>
        </r>
      </text>
    </comment>
    <comment ref="C41" authorId="0" shapeId="0" xr:uid="{00000000-0006-0000-0B00-000024000000}">
      <text>
        <r>
          <rPr>
            <sz val="11"/>
            <color theme="1"/>
            <rFont val="Calibri"/>
            <family val="2"/>
          </rPr>
          <t>来源：未来实验初值；避免多人连续锁死Boss</t>
        </r>
      </text>
    </comment>
    <comment ref="C42" authorId="0" shapeId="0" xr:uid="{00000000-0006-0000-0B00-000025000000}">
      <text>
        <r>
          <rPr>
            <sz val="11"/>
            <color theme="1"/>
            <rFont val="Calibri"/>
            <family val="2"/>
          </rPr>
          <t>来源：未来实验初值；战后仍可拾取并装箱</t>
        </r>
      </text>
    </comment>
    <comment ref="C43" authorId="0" shapeId="0" xr:uid="{00000000-0006-0000-0B00-000026000000}">
      <text>
        <r>
          <rPr>
            <sz val="11"/>
            <color theme="1"/>
            <rFont val="Calibri"/>
            <family val="2"/>
          </rPr>
          <t>来源：公式；只统计阶段以P0开头的任务</t>
        </r>
      </text>
    </comment>
    <comment ref="C44" authorId="0" shapeId="0" xr:uid="{00000000-0006-0000-0B00-000027000000}">
      <text>
        <r>
          <rPr>
            <sz val="11"/>
            <color theme="1"/>
            <rFont val="Calibri"/>
            <family val="2"/>
          </rPr>
          <t>来源：公式；没有验收证据不标完成</t>
        </r>
      </text>
    </comment>
    <comment ref="C45" authorId="0" shapeId="0" xr:uid="{00000000-0006-0000-0B00-000028000000}">
      <text>
        <r>
          <rPr>
            <sz val="11"/>
            <color theme="1"/>
            <rFont val="Calibri"/>
            <family val="2"/>
          </rPr>
          <t>来源：公式；空分母不返回错误</t>
        </r>
      </text>
    </comment>
    <comment ref="C46" authorId="0" shapeId="0" xr:uid="{00000000-0006-0000-0B00-000029000000}">
      <text>
        <r>
          <rPr>
            <sz val="11"/>
            <color theme="1"/>
            <rFont val="Calibri"/>
            <family val="2"/>
          </rPr>
          <t>来源：公式；阻塞不计实际执行完成</t>
        </r>
      </text>
    </comment>
    <comment ref="C47" authorId="0" shapeId="0" xr:uid="{00000000-0006-0000-0B00-00002A000000}">
      <text>
        <r>
          <rPr>
            <sz val="11"/>
            <color theme="1"/>
            <rFont val="Calibri"/>
            <family val="2"/>
          </rPr>
          <t>来源：公式；来自验收结果</t>
        </r>
      </text>
    </comment>
    <comment ref="C48" authorId="0" shapeId="0" xr:uid="{00000000-0006-0000-0B00-00002B000000}">
      <text>
        <r>
          <rPr>
            <sz val="11"/>
            <color theme="1"/>
            <rFont val="Calibri"/>
            <family val="2"/>
          </rPr>
          <t>来源：公式；未测显示空，不用0%伪装测过</t>
        </r>
      </text>
    </comment>
    <comment ref="C49" authorId="0" shapeId="0" xr:uid="{00000000-0006-0000-0B00-00002C000000}">
      <text>
        <r>
          <rPr>
            <sz val="11"/>
            <color theme="1"/>
            <rFont val="Calibri"/>
            <family val="2"/>
          </rPr>
          <t>来源：公式；实际试玩输入</t>
        </r>
      </text>
    </comment>
    <comment ref="C50" authorId="0" shapeId="0" xr:uid="{00000000-0006-0000-0B00-00002D000000}">
      <text>
        <r>
          <rPr>
            <sz val="11"/>
            <color theme="1"/>
            <rFont val="Calibri"/>
            <family val="2"/>
          </rPr>
          <t>来源：公式；未有胜利记录时留空</t>
        </r>
      </text>
    </comment>
  </commentList>
</comments>
</file>

<file path=xl/sharedStrings.xml><?xml version="1.0" encoding="utf-8"?>
<sst xmlns="http://schemas.openxmlformats.org/spreadsheetml/2006/main" count="1505" uniqueCount="1208">
  <si>
    <t>单人动作验证与合作设计基线</t>
  </si>
  <si>
    <t>本文件是开发规格，不是已完成报告。用户确认、策划提案和待验证假设分开管理。所有测试结果保持空白，所有任务默认未开始。</t>
  </si>
  <si>
    <t>YOU ARE CHALLENGER  /  P0 单人验证  /  v0.1  /  2026-09-06</t>
  </si>
  <si>
    <t>编号</t>
  </si>
  <si>
    <t>项目</t>
  </si>
  <si>
    <t>说明</t>
  </si>
  <si>
    <t>决策属性</t>
  </si>
  <si>
    <t>OV-01</t>
  </si>
  <si>
    <t>仓库</t>
  </si>
  <si>
    <t>GcMin/you-are-challenger；本游戏独立于医院、太空及2d-bossrush-dungeon项目。</t>
  </si>
  <si>
    <t>用户确认</t>
  </si>
  <si>
    <t>OV-02</t>
  </si>
  <si>
    <t>目标</t>
  </si>
  <si>
    <t>Godot 4.7.2 / GDScript 为用户指定目标；实际引擎版本须在仓库与运行环境核验。本文件不假设某个未核验版本的新API。</t>
  </si>
  <si>
    <t>用户指定</t>
  </si>
  <si>
    <t>OV-03</t>
  </si>
  <si>
    <t>一句话定位</t>
  </si>
  <si>
    <t>被指定的挑战者在八角笼中与Boss周旋；其余玩家选择协战、外围搜集和救援。混搭武器提供表现差异。</t>
  </si>
  <si>
    <t>已确认核心</t>
  </si>
  <si>
    <t>OV-04</t>
  </si>
  <si>
    <t>当前验证目标</t>
  </si>
  <si>
    <t>只优先完成一个可操控角色、一个有完整胜负流程的Boss、单人两次复活、战后自由搜刮与中央继承箱。</t>
  </si>
  <si>
    <t>用户确认＋范围收敛</t>
  </si>
  <si>
    <t>OV-05</t>
  </si>
  <si>
    <t>乐趣判断</t>
  </si>
  <si>
    <t>首要价值来自看懂攻击、做出选择、躲开并反击；外围搜集和交接属于合作差异化，不能由单人测试证明。</t>
  </si>
  <si>
    <t>策划判断</t>
  </si>
  <si>
    <t>OV-06</t>
  </si>
  <si>
    <t>最新覆盖：箱子</t>
  </si>
  <si>
    <t>战斗期间不出现；击败Boss并结束战斗后，在场地中央出现。失败后进入失败界面，不发放通关继承奖励。</t>
  </si>
  <si>
    <t>出现时机用户确认；失败分支为提案</t>
  </si>
  <si>
    <t>OV-07</t>
  </si>
  <si>
    <t>最新覆盖：搜刮</t>
  </si>
  <si>
    <t>击败Boss后不限制搜刮；不冻结地面物品，不以消失、封路、装箱倒计时迫使玩家战中搜刮。</t>
  </si>
  <si>
    <t>OV-08</t>
  </si>
  <si>
    <t>外围动机</t>
  </si>
  <si>
    <t>提议外围产出可选择时机使用的控场支援道具，使战中搜集换来当前Boss战的生存与反击窗口；不是更多枪械或弹药。</t>
  </si>
  <si>
    <t>新增提案，未获用户确认</t>
  </si>
  <si>
    <t>OV-09</t>
  </si>
  <si>
    <t>P0不证明什么</t>
  </si>
  <si>
    <t>不证明多人协作、场外搜集收益、人数血量倍率、跨Boss构筑、隐藏Boss门槛或长期金币经济。</t>
  </si>
  <si>
    <t>验证边界</t>
  </si>
  <si>
    <t>OV-10</t>
  </si>
  <si>
    <t>真实实施状态</t>
  </si>
  <si>
    <t>代码现状需由开发者读取仓库核对；不得把本表计划、占位值或模拟值报告为已经实现或实测。</t>
  </si>
  <si>
    <t>治理规则</t>
  </si>
  <si>
    <t>OV-11</t>
  </si>
  <si>
    <t>推荐阅读顺序</t>
  </si>
  <si>
    <t>规则台账 → 乐趣与范围 → 单人流程 → 操控与Boss → 物品与箱子 → 任务与验收；外围支援留作P1实验。</t>
  </si>
  <si>
    <t>使用说明</t>
  </si>
  <si>
    <t>OV-12</t>
  </si>
  <si>
    <t>P0结束条件</t>
  </si>
  <si>
    <t>可连续重开并完整经历胜利、超时失败、复活耗尽失败；手感问题可通过试玩数据定位；中央箱子容量和数据快照正确。</t>
  </si>
  <si>
    <t>验收目标</t>
  </si>
  <si>
    <t>01_规则台账</t>
  </si>
  <si>
    <t>规则台账与旧方案覆盖</t>
  </si>
  <si>
    <t>28 条记录</t>
  </si>
  <si>
    <t>02_乐趣与范围</t>
  </si>
  <si>
    <t>乐趣假设与P0范围</t>
  </si>
  <si>
    <t>15 条记录</t>
  </si>
  <si>
    <t>03_单人流程</t>
  </si>
  <si>
    <t>一个Boss的完整单人流程</t>
  </si>
  <si>
    <t>12 条记录</t>
  </si>
  <si>
    <t>04_角色操控</t>
  </si>
  <si>
    <t>角色操控规格与手感边界</t>
  </si>
  <si>
    <t>14 条记录</t>
  </si>
  <si>
    <t>05_Boss规格</t>
  </si>
  <si>
    <t>验证Boss：擂台重锤手</t>
  </si>
  <si>
    <t>06_外围支援提案</t>
  </si>
  <si>
    <t>外围搜集提案：可择机使用的控场支援</t>
  </si>
  <si>
    <t>07_物品与箱子</t>
  </si>
  <si>
    <t>物品、战后自由搜刮与共享继承箱</t>
  </si>
  <si>
    <t>08_开发任务</t>
  </si>
  <si>
    <t>按可玩结果拆分的开发任务</t>
  </si>
  <si>
    <t>19 条记录</t>
  </si>
  <si>
    <t>09_验收用例</t>
  </si>
  <si>
    <t>核心验收用例</t>
  </si>
  <si>
    <t>22 条记录</t>
  </si>
  <si>
    <t>10_试玩记录</t>
  </si>
  <si>
    <t>试玩记录：只填真实观察</t>
  </si>
  <si>
    <t>20 条记录</t>
  </si>
  <si>
    <t>11_参数与进度</t>
  </si>
  <si>
    <t>调参入口与验证进度</t>
  </si>
  <si>
    <t>45 条记录</t>
  </si>
  <si>
    <t>12_决策与变更</t>
  </si>
  <si>
    <t>待决策项、覆盖记录与文档维护</t>
  </si>
  <si>
    <t>“用户确认”是约束；“策划提案”允许试玩推翻。不得再恢复战中箱子、战后锁物资、多人复活预算或先制作多Boss。</t>
  </si>
  <si>
    <t>返回目录</t>
  </si>
  <si>
    <t>ID</t>
  </si>
  <si>
    <t>主题</t>
  </si>
  <si>
    <t>规则</t>
  </si>
  <si>
    <t>属性</t>
  </si>
  <si>
    <t>本版处理</t>
  </si>
  <si>
    <t>来源</t>
  </si>
  <si>
    <t>R01</t>
  </si>
  <si>
    <t>项目形态</t>
  </si>
  <si>
    <t>低多边形3D、第三人称、八角笼不封顶、周围看台。</t>
  </si>
  <si>
    <t>P0灰模比例，观众静态占位</t>
  </si>
  <si>
    <t>本会话初始需求</t>
  </si>
  <si>
    <t>R02</t>
  </si>
  <si>
    <t>引擎目标</t>
  </si>
  <si>
    <t>Godot 4.7.2 / GDScript。</t>
  </si>
  <si>
    <t>实施前核验实际可用版本，不虚构版本特性</t>
  </si>
  <si>
    <t>R03</t>
  </si>
  <si>
    <t>挑战者</t>
  </si>
  <si>
    <t>Boss指定一名挑战者；挑战者不得离笼。</t>
  </si>
  <si>
    <t>P0只有自己；挑战期间阻止走出或翻滚越界</t>
  </si>
  <si>
    <t>R04</t>
  </si>
  <si>
    <t>协作自由</t>
  </si>
  <si>
    <t>非挑战者可留场战斗或外围搜集。</t>
  </si>
  <si>
    <t>P1联机验证，P0不制作AI队友</t>
  </si>
  <si>
    <t>R05</t>
  </si>
  <si>
    <t>个人栏位</t>
  </si>
  <si>
    <t>一把武器、两个道具栏。</t>
  </si>
  <si>
    <t>不通过额外背包绕过限制</t>
  </si>
  <si>
    <t>上一轮明确</t>
  </si>
  <si>
    <t>R06</t>
  </si>
  <si>
    <t>弹药</t>
  </si>
  <si>
    <t>不设计弹药。</t>
  </si>
  <si>
    <t>不做弹匣、装填、弹药掉落，也不换名引入充能弹药</t>
  </si>
  <si>
    <t>R07</t>
  </si>
  <si>
    <t>精力</t>
  </si>
  <si>
    <t>引入精力条，翻滚有无敌帧。</t>
  </si>
  <si>
    <t>P0翻滚和重攻击耗精力，具体参数为建议</t>
  </si>
  <si>
    <t>本会话修订</t>
  </si>
  <si>
    <t>R08</t>
  </si>
  <si>
    <t>单人复活</t>
  </si>
  <si>
    <t>整轮Boss Rush共有两次复活机会，非每个Boss重置。</t>
  </si>
  <si>
    <t>P0一个Boss；新一轮才重置，继承测试不刷新</t>
  </si>
  <si>
    <t>R09</t>
  </si>
  <si>
    <t>多人救援</t>
  </si>
  <si>
    <t>无复活次数；倒地由其他玩家救起。</t>
  </si>
  <si>
    <t>P1，不能保留旧的自动或付费复活逻辑</t>
  </si>
  <si>
    <t>R10</t>
  </si>
  <si>
    <t>交接</t>
  </si>
  <si>
    <t>挑战者倒下立即选下一名存活玩家，五秒后场外强制入场、场内继承身份。</t>
  </si>
  <si>
    <t>随即不解释成随机；选取算法另议</t>
  </si>
  <si>
    <t>R11</t>
  </si>
  <si>
    <t>战斗时限</t>
  </si>
  <si>
    <t>每场Boss有时间限制。</t>
  </si>
  <si>
    <t>P0超时判负建议；不同时增加复杂狂暴机制</t>
  </si>
  <si>
    <t>R12</t>
  </si>
  <si>
    <t>人数血量</t>
  </si>
  <si>
    <t>Boss血量按联机人数变化。</t>
  </si>
  <si>
    <t>建议开战锁定人数，出笼或倒地不即时改血量</t>
  </si>
  <si>
    <t>R13</t>
  </si>
  <si>
    <t>单人补给</t>
  </si>
  <si>
    <t>战斗中空中随机生成道具并掉落。</t>
  </si>
  <si>
    <t>固定合法落点集合＋随机物品/时机；不用抽到某道具才能通关</t>
  </si>
  <si>
    <t>R14</t>
  </si>
  <si>
    <t>共享箱容量</t>
  </si>
  <si>
    <t>箱格数=玩家数×2。</t>
  </si>
  <si>
    <t>建议取本轮开局人数；P0固定两格</t>
  </si>
  <si>
    <t>R15</t>
  </si>
  <si>
    <t>箱子出现</t>
  </si>
  <si>
    <t>只在战斗结束后出现在场地中央。</t>
  </si>
  <si>
    <t>用户确认，覆盖旧建议</t>
  </si>
  <si>
    <t>P0胜利后生成一次；战中不得存取</t>
  </si>
  <si>
    <t>2026-09-06本轮</t>
  </si>
  <si>
    <t>R16</t>
  </si>
  <si>
    <t>胜利后搜刮</t>
  </si>
  <si>
    <t>击败Boss后不限制搜刮。</t>
  </si>
  <si>
    <t>保留地面掉落与未搜物资；无战后倒计时</t>
  </si>
  <si>
    <t>R17</t>
  </si>
  <si>
    <t>继承资格</t>
  </si>
  <si>
    <t>开局携带与本轮拾取物品都有跨关资格。</t>
  </si>
  <si>
    <t>来源不影响能否装箱</t>
  </si>
  <si>
    <t>R18</t>
  </si>
  <si>
    <t>继承入口</t>
  </si>
  <si>
    <t>继承改为场地箱子存放。</t>
  </si>
  <si>
    <t>用户确认；边界待细化</t>
  </si>
  <si>
    <t>P0按只有箱内跨关实现提案；最终确认前显式提示</t>
  </si>
  <si>
    <t>R19</t>
  </si>
  <si>
    <t>箱格细则</t>
  </si>
  <si>
    <t>每件物品占一格，不堆叠；道具可消耗，武器无弹药。</t>
  </si>
  <si>
    <t>策划提案</t>
  </si>
  <si>
    <t>P0简化，不据此扩充品质、耐久、尺寸</t>
  </si>
  <si>
    <t>本文件新增建议</t>
  </si>
  <si>
    <t>R20</t>
  </si>
  <si>
    <t>计分金币</t>
  </si>
  <si>
    <t>Boss Rush通关用时决定积分与金币。</t>
  </si>
  <si>
    <t>P0记录战斗秒数；完整经济推迟</t>
  </si>
  <si>
    <t>R21</t>
  </si>
  <si>
    <t>隐藏Boss</t>
  </si>
  <si>
    <t>常规最终Boss击败后，积分满足门槛进入隐藏Boss。</t>
  </si>
  <si>
    <t>不制作于P0，保留设计方向</t>
  </si>
  <si>
    <t>R22</t>
  </si>
  <si>
    <t>局外成长</t>
  </si>
  <si>
    <t>金币用于局外成长与开局携带道具。</t>
  </si>
  <si>
    <t>成长是否永久属性未定；P0不做完整成长</t>
  </si>
  <si>
    <t>R23</t>
  </si>
  <si>
    <t>战前赌约</t>
  </si>
  <si>
    <t>中央机器开战前出现；可选不倒下、限时、血量条件。</t>
  </si>
  <si>
    <t>P0用普通开始按钮，赌约推迟；不恢复旧赔率机器</t>
  </si>
  <si>
    <t>R24</t>
  </si>
  <si>
    <t>血量限制语义</t>
  </si>
  <si>
    <t>降低生命上限或要求剩余生命尚未确定。</t>
  </si>
  <si>
    <t>待决策</t>
  </si>
  <si>
    <t>不得以助手此前建议冒充用户确认</t>
  </si>
  <si>
    <t>R25</t>
  </si>
  <si>
    <t>当前优先级</t>
  </si>
  <si>
    <t>单人为主，先角色操控和一个Boss完整流程。</t>
  </si>
  <si>
    <t>覆盖上版先多人、两常规Boss＋隐藏Boss的原型范围</t>
  </si>
  <si>
    <t>R26</t>
  </si>
  <si>
    <t>外围机制</t>
  </si>
  <si>
    <t>使用少量种类的即时战斗支援，增加外围搜集的战中价值。</t>
  </si>
  <si>
    <t>方向用户提出；具体方案为提案</t>
  </si>
  <si>
    <t>P1对照实验，不设必拿钥匙或强制跑腿</t>
  </si>
  <si>
    <t>2026-09-06本轮＋本文件</t>
  </si>
  <si>
    <t>R27</t>
  </si>
  <si>
    <t>笼外输出</t>
  </si>
  <si>
    <t>建议常规武器不能在笼外直接伤害Boss；支援道具可例外。</t>
  </si>
  <si>
    <t>策划提案，未确认</t>
  </si>
  <si>
    <t>P1对照测试；不混写为既定规则</t>
  </si>
  <si>
    <t>此前助手建议</t>
  </si>
  <si>
    <t>R28</t>
  </si>
  <si>
    <t>多人上限</t>
  </si>
  <si>
    <t>尚未由用户最终确定。</t>
  </si>
  <si>
    <t>P1先双人验证；不把4人写成正式上限</t>
  </si>
  <si>
    <t>本会话未明确</t>
  </si>
  <si>
    <t>单人P0只检验动作基础。合作交接和外围搜集是未来差异化，不应凭单机通关宣称已经验证。</t>
  </si>
  <si>
    <t>假设/功能</t>
  </si>
  <si>
    <t>具体决策或体验</t>
  </si>
  <si>
    <t>P0处理</t>
  </si>
  <si>
    <t>验证方式/失败征兆</t>
  </si>
  <si>
    <t>F01</t>
  </si>
  <si>
    <t>可读攻击→成功闪避→反击</t>
  </si>
  <si>
    <t>玩家能从动作而非只看提示UI判断何时翻滚；反击来自Boss实际收招。</t>
  </si>
  <si>
    <t>核心必做</t>
  </si>
  <si>
    <t>回放或访谈能解释受伤原因；若只能记秒表或连续滚动，需重做节奏</t>
  </si>
  <si>
    <t>F02</t>
  </si>
  <si>
    <t>攻击承诺与精力</t>
  </si>
  <si>
    <t>短窗口轻击，大窗口重击；贪刀会来不及防守，保留精力可应对下一次攻击。</t>
  </si>
  <si>
    <t>比较轻击、重击、翻滚是否各有使用时机；不能一个动作永久压制</t>
  </si>
  <si>
    <t>F03</t>
  </si>
  <si>
    <t>空间取舍</t>
  </si>
  <si>
    <t>追击Boss、等他靠近、绕开正面、去空投点取补给，需要选择时机。</t>
  </si>
  <si>
    <t>必做空投与三招</t>
  </si>
  <si>
    <t>若只贴身转圈或一直后退即可无脑通关，修正攻击组合与射程</t>
  </si>
  <si>
    <t>F04</t>
  </si>
  <si>
    <t>战后整理</t>
  </si>
  <si>
    <t>自由搜刮全部遗留物品后，用两格箱子选择跨关保留内容。</t>
  </si>
  <si>
    <t>必做基本交互</t>
  </si>
  <si>
    <t>P0证明功能，不宣称一个Boss已经证明长期构筑深度</t>
  </si>
  <si>
    <t>F05</t>
  </si>
  <si>
    <t>外围搜集即时支援</t>
  </si>
  <si>
    <t>牺牲一段协战时间，换来适时控场与反击窗口。</t>
  </si>
  <si>
    <t>P1设计，不作P0必须</t>
  </si>
  <si>
    <t>双人比较全员协战/择机搜集；若所有局面固定跑腿或无人外出，则假设失败</t>
  </si>
  <si>
    <t>F06</t>
  </si>
  <si>
    <t>五秒身份交接与救援</t>
  </si>
  <si>
    <t>玩家准备接班，队伍决定先救人还是继续输出。</t>
  </si>
  <si>
    <t>P1联机</t>
  </si>
  <si>
    <t>单人不能验证，禁止使用假队友脚本当多人结论</t>
  </si>
  <si>
    <t>F07</t>
  </si>
  <si>
    <t>荒诞武器与观众表现</t>
  </si>
  <si>
    <t>大剑、折凳、魔法和枪械混搭，观众对失误和成功动作反馈。</t>
  </si>
  <si>
    <t>美术方向保留；P0不堆内容</t>
  </si>
  <si>
    <t>画风与演出是增强项，不替代战斗可读性</t>
  </si>
  <si>
    <t>S01</t>
  </si>
  <si>
    <t>必须：操控</t>
  </si>
  <si>
    <t>移动、第三人称镜头、转向、轻重攻击、翻滚、精力、受击、交互。</t>
  </si>
  <si>
    <t>P0-1</t>
  </si>
  <si>
    <t>一把双手大剑；占位动画可用但时序和命中必须可信</t>
  </si>
  <si>
    <t>S02</t>
  </si>
  <si>
    <t>必须：一只Boss</t>
  </si>
  <si>
    <t>三种清晰招式、生命、伤害、攻击节奏、收招、胜败。</t>
  </si>
  <si>
    <t>P0-2</t>
  </si>
  <si>
    <t>同一模型单阶段即可；不制作第二只或隐藏Boss</t>
  </si>
  <si>
    <t>S03</t>
  </si>
  <si>
    <t>必须：完整单人局</t>
  </si>
  <si>
    <t>准备→战斗→两次复活→胜利/失败→自由搜刮→中央箱→结果→重开。</t>
  </si>
  <si>
    <t>P0-3</t>
  </si>
  <si>
    <t>新开一轮可靠重置；复活不重开整场</t>
  </si>
  <si>
    <t>S04</t>
  </si>
  <si>
    <t>必须：基本物资</t>
  </si>
  <si>
    <t>一把大剑、恢复药、精力饮料；单人空投，战后外围可拾取。</t>
  </si>
  <si>
    <t>两类物品足够测试栏位；不新增弹药或耐久</t>
  </si>
  <si>
    <t>S05</t>
  </si>
  <si>
    <t>可选：支援道具单机样机</t>
  </si>
  <si>
    <t>用调试生成的一个支援道具检查控场反馈与收益量级。</t>
  </si>
  <si>
    <t>P0完成后才能添加</t>
  </si>
  <si>
    <t>只能验证效果，不验证非挑战者为什么外出</t>
  </si>
  <si>
    <t>S06</t>
  </si>
  <si>
    <t>推迟：联机</t>
  </si>
  <si>
    <t>同步、队友救援、身份交接、外围行为、人数倍率。</t>
  </si>
  <si>
    <t>P1</t>
  </si>
  <si>
    <t>P0只保持状态边界清楚，不提前搭建完整联机平台</t>
  </si>
  <si>
    <t>S07</t>
  </si>
  <si>
    <t>推迟：长期系统</t>
  </si>
  <si>
    <t>多Boss连战、积分门槛、隐藏Boss、赌约、金币商店、永久成长。</t>
  </si>
  <si>
    <t>P2</t>
  </si>
  <si>
    <t>P0记录用时和快照即可，不能因为有表格就顺手全做</t>
  </si>
  <si>
    <t>S08</t>
  </si>
  <si>
    <t>明确不做</t>
  </si>
  <si>
    <t>AI队友、随机地图、职业、词条品质、弹药、耐久、堆叠背包、观众AI、匹配大厅。</t>
  </si>
  <si>
    <t>本版排除</t>
  </si>
  <si>
    <t>有新增需求必须替换等量P0范围或进入后续候选</t>
  </si>
  <si>
    <t>一场Boss即本次验证用的整轮。跨关通过快照往返测试验证数据，不新增第二只Boss或完整连战来扩大范围。</t>
  </si>
  <si>
    <t>状态</t>
  </si>
  <si>
    <t>进入条件</t>
  </si>
  <si>
    <t>玩家可做什么</t>
  </si>
  <si>
    <t>系统行为</t>
  </si>
  <si>
    <t>退出条件/验收</t>
  </si>
  <si>
    <t>准备</t>
  </si>
  <si>
    <t>启动或重新开始一轮</t>
  </si>
  <si>
    <t>移动、试挥武器、配置两个道具栏，按开始。</t>
  </si>
  <si>
    <t>生命精力满；整轮剩余复活=2；Boss不攻击；中央继承箱不存在。</t>
  </si>
  <si>
    <t>确认开始后进入战斗，计时从可控制的战斗开始点启动。</t>
  </si>
  <si>
    <t>战斗</t>
  </si>
  <si>
    <t>玩家确认开始</t>
  </si>
  <si>
    <t>走位、轻重击、翻滚、用药、拾取空投。</t>
  </si>
  <si>
    <t>玩家为唯一挑战者；笼边阻止越界；BossAI与计时启用；箱子不生成。</t>
  </si>
  <si>
    <t>Boss先死亡则胜利；玩家倒地且Boss存活则倒地分支；时间归零且Boss存活则失败。</t>
  </si>
  <si>
    <t>空投</t>
  </si>
  <si>
    <t>战斗状态达到随机间隔</t>
  </si>
  <si>
    <t>观察落点；选择立即去拿或继续输出。</t>
  </si>
  <si>
    <t>合法落点显示提示后道具落地；未拾物资保留，有限总量；新掉落不能成为必需通关键。</t>
  </si>
  <si>
    <t>进入可拾取状态，战后仍可拾取。</t>
  </si>
  <si>
    <t>单人倒地</t>
  </si>
  <si>
    <t>生命归零，Boss仍存活</t>
  </si>
  <si>
    <t>暂时不能攻击移动；看到剩余复活与恢复提示。</t>
  </si>
  <si>
    <t>若剩余机会&gt;0消耗1次；Boss保留已损失生命；战斗时钟继续；移除已结算玩家攻击。</t>
  </si>
  <si>
    <t>短暂过渡后安全点复起；若没有机会则失败。</t>
  </si>
  <si>
    <t>单人复起</t>
  </si>
  <si>
    <t>倒地分支已扣除机会</t>
  </si>
  <si>
    <t>恢复控制，选择移动躲招或主动进攻。</t>
  </si>
  <si>
    <t>恢复建议50%生命和满精力；短暂保护，主动攻击时提前结束；Boss不瞬移贴脸重击。</t>
  </si>
  <si>
    <t>回到同一场战斗；不能重置Boss和总计时。</t>
  </si>
  <si>
    <t>胜利锁定</t>
  </si>
  <si>
    <t>Boss生命归零</t>
  </si>
  <si>
    <t>击败演出结束后恢复自由移动。</t>
  </si>
  <si>
    <t>停止战斗计时和新空投；关闭Boss伤害与残留攻击；解除挑战者禁出；中央生成一个箱子。</t>
  </si>
  <si>
    <t>进入无限时搜刮整备，不立即切关。</t>
  </si>
  <si>
    <t>自由搜刮</t>
  </si>
  <si>
    <t>已胜利</t>
  </si>
  <si>
    <t>离笼搜刮外围、拾取落地物资、替换武器、使用道具、存取中央箱。</t>
  </si>
  <si>
    <t>不封路、不清物、不限制搜刮时长；栏位与箱容量仍生效。</t>
  </si>
  <si>
    <t>玩家主动按结算/结束本轮；不是物品自动消失触发。</t>
  </si>
  <si>
    <t>装箱确认</t>
  </si>
  <si>
    <t>玩家主动结束整备</t>
  </si>
  <si>
    <t>查看两格箱和未装箱物品提示，可取消返回。</t>
  </si>
  <si>
    <t>按照箱内清单建立快照；装箱不看物品来源；未入箱不默认为跨关。</t>
  </si>
  <si>
    <t>确认后保存本轮结果和继承测试快照。</t>
  </si>
  <si>
    <t>结果</t>
  </si>
  <si>
    <t>确认装箱或战斗失败</t>
  </si>
  <si>
    <t>查看胜负、战斗用时、受击、使用复活次数；重新开始。</t>
  </si>
  <si>
    <t>P0不发放未经设计的永久数值奖励；失败不生成通关继承奖励。</t>
  </si>
  <si>
    <t>重新开始新一轮时才恢复两次复活。</t>
  </si>
  <si>
    <t>超时失败</t>
  </si>
  <si>
    <t>计时到零且Boss未死</t>
  </si>
  <si>
    <t>查看超时原因、选择重开。</t>
  </si>
  <si>
    <t>停AI、停止伤害与新空投；不生成胜利箱；保留结果日志。</t>
  </si>
  <si>
    <t>新一轮完全重置状态。</t>
  </si>
  <si>
    <t>复活耗尽失败</t>
  </si>
  <si>
    <t>0机会时再次倒地，Boss未死</t>
  </si>
  <si>
    <t>查看失败原因、选择重开。</t>
  </si>
  <si>
    <t>两次复活意味着至多第三次倒地结束；此前复起不另开局。</t>
  </si>
  <si>
    <t>快照往返测试</t>
  </si>
  <si>
    <t>在调试入口读取装箱快照</t>
  </si>
  <si>
    <t>取回箱内物品，比较ID、数量、栏位。</t>
  </si>
  <si>
    <t>只测试序列化和恢复；不把此入口当第二关，不发奖励，不消耗或刷新本轮复活。</t>
  </si>
  <si>
    <t>还原物品与快照一一相符；可独立清除测试快照。</t>
  </si>
  <si>
    <t>键位与数值是可调原型建议，不是用户已确认。优先稳定的命中反馈、镜头可读性和可解释的失败。</t>
  </si>
  <si>
    <t>功能/输入建议</t>
  </si>
  <si>
    <t>行为规格</t>
  </si>
  <si>
    <t>约束与反馈</t>
  </si>
  <si>
    <t>验收重点</t>
  </si>
  <si>
    <t>PC01</t>
  </si>
  <si>
    <t>WASD移动</t>
  </si>
  <si>
    <t>相对镜头水平朝向移动；普通移动不耗精力。</t>
  </si>
  <si>
    <t>斜向不额外加速；受击或翻滚由状态控制，不能互相叠加造成瞬移。</t>
  </si>
  <si>
    <t>移动停止可控，无明显漂移；不因帧率不同改变位移。</t>
  </si>
  <si>
    <t>PC02</t>
  </si>
  <si>
    <t>鼠标镜头</t>
  </si>
  <si>
    <t>可水平旋转、限制俯仰；镜头碰到围栏/地面时保持人物与Boss可见。</t>
  </si>
  <si>
    <t>不把笼网当永远遮挡的实心墙；遮挡可用淡化或适当剔除。</t>
  </si>
  <si>
    <t>绕笼边一圈及贴墙战斗时可以辨认攻击预备动作。</t>
  </si>
  <si>
    <t>PC03</t>
  </si>
  <si>
    <t>朝向与辅助</t>
  </si>
  <si>
    <t>移动时角色朝向移动方向；攻击时允许朝前方近目标有限修正。</t>
  </si>
  <si>
    <t>不在攻击生效瞬间180度吸附；P0先不做复杂锁定目标系统。</t>
  </si>
  <si>
    <t>轻击命中朝向容易理解，落空原因可见。</t>
  </si>
  <si>
    <t>PC04</t>
  </si>
  <si>
    <t>左键轻击</t>
  </si>
  <si>
    <t>单段基础斩击，低承诺；第一版不需要三段连击树。</t>
  </si>
  <si>
    <t>轻击消耗10精力；忙碌连点不排队；伤害与动画共用状态时钟，同目标每击一次。</t>
  </si>
  <si>
    <t>命中和落空均按同一动作时序；不隔笼命中。</t>
  </si>
  <si>
    <t>PC05</t>
  </si>
  <si>
    <t>右键重击</t>
  </si>
  <si>
    <t>更长前摇与收招，伤害较高，消耗精力。</t>
  </si>
  <si>
    <t>攻击已进入生效阶段不能随时免费取消；前摇可给少量翻滚取消窗口。</t>
  </si>
  <si>
    <t>大收招窗口重击更合适；乱用会错失躲避机会。</t>
  </si>
  <si>
    <t>PC06</t>
  </si>
  <si>
    <t>空格翻滚</t>
  </si>
  <si>
    <t>当前移动方向翻滚，无方向输入时向角色前方；仅部分时段无敌。</t>
  </si>
  <si>
    <t>滚动0.55秒，起身收势0.05秒；起身无无敌且禁攻击/翻滚，精力不足拒绝。</t>
  </si>
  <si>
    <t>提前滚、正确滚、过晚滚呈现不同结果，无整段永久无敌。</t>
  </si>
  <si>
    <t>PC07</t>
  </si>
  <si>
    <t>Shift冲刺</t>
  </si>
  <si>
    <t>可选，未完成核心手感前不作为必做；没有冲刺也可正常接近Boss。</t>
  </si>
  <si>
    <t>若加入则持续耗精力；不制作跳跃攀爬支线。</t>
  </si>
  <si>
    <t>不能无限冲刺绕圈使Boss永久失去攻击机会。</t>
  </si>
  <si>
    <t>PC08</t>
  </si>
  <si>
    <t>精力恢复</t>
  </si>
  <si>
    <t>停止耗精力一段时间后恢复，普通移动可恢复。</t>
  </si>
  <si>
    <t>耗尽仍能移动和恢复；轻击10、重击20、翻滚25精力，不足均不能执行。</t>
  </si>
  <si>
    <t>避免耗尽后同时失去移动、攻击和恢复而只能等死。</t>
  </si>
  <si>
    <t>PC09</t>
  </si>
  <si>
    <t>E交互</t>
  </si>
  <si>
    <t>拾取或与箱子交互；只有一个当前高亮目标。</t>
  </si>
  <si>
    <t>武器替换会把旧武器放到地面；道具栏满时明确提示替换目标。</t>
  </si>
  <si>
    <t>不会凭空删除旧物或同一物品重复拾取。</t>
  </si>
  <si>
    <t>PC10</t>
  </si>
  <si>
    <t>1/2道具栏</t>
  </si>
  <si>
    <t>使用对应栏位道具；消耗后空出该栏。</t>
  </si>
  <si>
    <t>无额外背包；药品作用和消耗量可见；满生命时建议阻止误用。</t>
  </si>
  <si>
    <t>恢复生效一次，数量不负数。</t>
  </si>
  <si>
    <t>PC11</t>
  </si>
  <si>
    <t>受击反馈</t>
  </si>
  <si>
    <t>短暂受击动作、声音和方向提示，生命条扣减对应伤害。</t>
  </si>
  <si>
    <t>相同攻击不得因多碰撞体或每帧检测重复结算；必要时短受击保护防重叠连杀。</t>
  </si>
  <si>
    <t>玩家能判断由哪一招命中；日志记录attack_id。</t>
  </si>
  <si>
    <t>PC12</t>
  </si>
  <si>
    <t>动作可读性</t>
  </si>
  <si>
    <t>用起手姿态、节奏、收招表现危险与机会。</t>
  </si>
  <si>
    <t>可以临时用颜色/地面范围辅助；不能仅依赖瞬间文字提示。</t>
  </si>
  <si>
    <t>不开开发碰撞框仍可玩；调试模式可核对实际范围。</t>
  </si>
  <si>
    <t>PC13</t>
  </si>
  <si>
    <t>场地边界</t>
  </si>
  <si>
    <t>战中玩家不能离笼；胜利后解除并允许外围搜刮。</t>
  </si>
  <si>
    <t>不做高度跳跃；异常位移回最近合法位置且给调试日志。</t>
  </si>
  <si>
    <t>翻滚和受击推移不能钻出笼子；胜利后出入正常。</t>
  </si>
  <si>
    <t>PC14</t>
  </si>
  <si>
    <t>状态边界</t>
  </si>
  <si>
    <t>移动、攻击、翻滚、受击、倒地、交互状态互斥优先级明确。</t>
  </si>
  <si>
    <t>死亡取消伤害生效；暂停或结果界面不继续扣血；无需为P0搭建庞大架构。</t>
  </si>
  <si>
    <t>不出现倒地挥剑、复活重复扣次数、胜利后继续被攻击。</t>
  </si>
  <si>
    <t>验证Boss：铁卫双手大剑</t>
  </si>
  <si>
    <t>一个双足近战Boss，单阶段、三种攻击。不依赖精细美术才能辨认动作；所有伤害、时间与距离均为测试初值。</t>
  </si>
  <si>
    <t>状态/招式</t>
  </si>
  <si>
    <t>行为与识别</t>
  </si>
  <si>
    <t>时间/数值建议</t>
  </si>
  <si>
    <t>设计目的与约束</t>
  </si>
  <si>
    <t>B00</t>
  </si>
  <si>
    <t>外观与角色</t>
  </si>
  <si>
    <t>LowPolyHuman2.obj，1.35倍体型；TwoHandedGreatsword.fbx，双手握持。</t>
  </si>
  <si>
    <t>先用灰模，面向可辨。</t>
  </si>
  <si>
    <t>武器材质差异不影响命中；不要先花精力制作看台人群。</t>
  </si>
  <si>
    <t>B01</t>
  </si>
  <si>
    <t>待机/入场</t>
  </si>
  <si>
    <t>准备阶段不攻击；开战给清晰信号，短暂入场后开始第一招。</t>
  </si>
  <si>
    <t>开场安全缓冲1秒。</t>
  </si>
  <si>
    <t>避免开场直接扣血；计时起点统一。</t>
  </si>
  <si>
    <t>B02</t>
  </si>
  <si>
    <t>追击</t>
  </si>
  <si>
    <t>走向攻击距离；在选定攻击前可跟随目标。</t>
  </si>
  <si>
    <t>速度与距离由参数表控制。</t>
  </si>
  <si>
    <t>防止永久被风筝，但不靠瞬移和实时锁头命中。</t>
  </si>
  <si>
    <t>B03</t>
  </si>
  <si>
    <t>招式A：横扫</t>
  </si>
  <si>
    <t>举剑横摆后向前横扫，宽矩形预警对应原型箱体查询。</t>
  </si>
  <si>
    <t>当前实现：0.65 / 0.18 / 0.8秒，伤害18。</t>
  </si>
  <si>
    <t>教玩家读方向、一次正确翻滚和短反击；生效前锁定方向。</t>
  </si>
  <si>
    <t>B04</t>
  </si>
  <si>
    <t>招式B：延迟重砸</t>
  </si>
  <si>
    <t>双手举剑过头蓄力后下砸；落点不追踪玩家。</t>
  </si>
  <si>
    <t>当前实现：1.25 / 0.18 / 1.65秒，伤害32。</t>
  </si>
  <si>
    <t>克制见动作就滚，奖励观察延迟与重击反击；标记后停止追踪。</t>
  </si>
  <si>
    <t>B05</t>
  </si>
  <si>
    <t>招式C：短距突进</t>
  </si>
  <si>
    <t>肩膀前压，沿锁定方向冲出一段，末端停顿。</t>
  </si>
  <si>
    <t>当前实现：0.7 / 0.4 / 1.0秒，伤害24；速度15m/s，最大6m。</t>
  </si>
  <si>
    <t>防止持续后退成为万能解；冲刺路径不拐弯追踪，止于合法边界。</t>
  </si>
  <si>
    <t>B06</t>
  </si>
  <si>
    <t>动作选择</t>
  </si>
  <si>
    <t>近距离以横扫与重砸为主，拉远后可突进；限制同招连续重复。</t>
  </si>
  <si>
    <t>中距优先突进；禁止紧邻两次重复同招，随后追击。</t>
  </si>
  <si>
    <t>不要求复杂行为树；不能每帧重新决定攻击，避免看似随机跳动作。</t>
  </si>
  <si>
    <t>B07</t>
  </si>
  <si>
    <t>追踪锁定</t>
  </si>
  <si>
    <t>攻击预备早段可轻微转向，临近生效时固定。</t>
  </si>
  <si>
    <t>当前实现：从前摇开始锁定方向。</t>
  </si>
  <si>
    <t>玩家看到并利用可躲位置；不要视觉上躲开仍被转向命中。</t>
  </si>
  <si>
    <t>B08</t>
  </si>
  <si>
    <t>生命与时限</t>
  </si>
  <si>
    <t>固定单人生命与硬时限；不做动态难度。</t>
  </si>
  <si>
    <t>初值HP600、时限180秒，必须试玩校准。</t>
  </si>
  <si>
    <t>数值不是实测结论；先调动作，再调血量和时限。</t>
  </si>
  <si>
    <t>B09</t>
  </si>
  <si>
    <t>命中与硬直</t>
  </si>
  <si>
    <t>普通轻重击扣血有反馈，但不使Boss每次受击都中断。</t>
  </si>
  <si>
    <t>P0不做复杂部位破坏或霸体层级。</t>
  </si>
  <si>
    <t>避免基础攻击永久锁死Boss；不能用强制硬直掩盖糟糕攻击节奏。</t>
  </si>
  <si>
    <t>B10</t>
  </si>
  <si>
    <t>死亡</t>
  </si>
  <si>
    <t>停止攻击判断，清除尚未结算的伤害；播放简短死亡或倒地。</t>
  </si>
  <si>
    <t>一个确定事件触发结算。</t>
  </si>
  <si>
    <t>箱子只生成一次；死亡不再发射攻击或触发额外空投。</t>
  </si>
  <si>
    <t>B11</t>
  </si>
  <si>
    <t>同时结算边界</t>
  </si>
  <si>
    <t>同一逻辑步既伤害Boss又伤害玩家时，按统一战斗结算顺序处理。</t>
  </si>
  <si>
    <t>建议Boss已被合法击杀则胜利优先，明文固定。</t>
  </si>
  <si>
    <t>这是原型边界约定，不扩大为大量极端测试项目。</t>
  </si>
  <si>
    <t>B12</t>
  </si>
  <si>
    <t>单人复起兼容</t>
  </si>
  <si>
    <t>玩家倒地时Boss不重置生命；复起安全位置避免正在生效的攻击。</t>
  </si>
  <si>
    <t>计时继续；复起保护主动攻击终止。</t>
  </si>
  <si>
    <t>两次复活有代价但不制造无操作的连杀。</t>
  </si>
  <si>
    <t>B13</t>
  </si>
  <si>
    <t>后续支援兼容</t>
  </si>
  <si>
    <t>为未来控场道具保留可中断/已中断的单一入口。</t>
  </si>
  <si>
    <t>P0主线不实现完整多人支援系统。</t>
  </si>
  <si>
    <t>先完成三招自身节奏；支援无法成为必须依赖的通关键。</t>
  </si>
  <si>
    <t>P1待验证提案，不是用户已确认，不是P0必做。普通武器与道具在胜利后仍全部可搜集，支援物品也不例外。</t>
  </si>
  <si>
    <t>设计项</t>
  </si>
  <si>
    <t>建议规格</t>
  </si>
  <si>
    <t>为什么战中值得做</t>
  </si>
  <si>
    <t>限制/待验证</t>
  </si>
  <si>
    <t>SUP01</t>
  </si>
  <si>
    <t>核心矛盾</t>
  </si>
  <si>
    <t>武器不耗弹药，战后自由搜刮；仅增加普通装备数量不能保证玩家愿意在战中离开输出位。</t>
  </si>
  <si>
    <t>动机必须是改善当场胜率与通关用时，而非用封路或掉落过期制造焦虑。</t>
  </si>
  <si>
    <t>这是一项设计推论，不是已观测玩家数据。</t>
  </si>
  <si>
    <t>SUP02</t>
  </si>
  <si>
    <t>一个新增种类</t>
  </si>
  <si>
    <t>外围应援箱产出“擂台干扰器”：可消耗的控场支援道具，占一个现有道具栏。</t>
  </si>
  <si>
    <t>无需新增武器种类；同一物品可在救场、争取反击、准备救援时用。</t>
  </si>
  <si>
    <t>名称与外观可换为观众递来的喇叭/干扰器；不创造弹药或额外背包。</t>
  </si>
  <si>
    <t>SUP03</t>
  </si>
  <si>
    <t>基本作用</t>
  </si>
  <si>
    <t>建议对Boss造成一次短控场，打断当前可打断动作并产生约3秒明确恢复窗口；不直接造成固定伤害。</t>
  </si>
  <si>
    <t>挑战者获得喘息与输出机会，队友可以救援或进场集中攻击。</t>
  </si>
  <si>
    <t>效果长度与中断规则必须实测；不能连续锁死Boss。</t>
  </si>
  <si>
    <t>SUP04</t>
  </si>
  <si>
    <t>使用规则</t>
  </si>
  <si>
    <t>道具持有者在笼内或笼边支援交互点使用；消耗一件。</t>
  </si>
  <si>
    <t>外围玩家拿到后不必在危险期硬闯正门，支援位置与常规武器伤害规则分开。</t>
  </si>
  <si>
    <t>P1建议标出有效范围；不可用状态不给扣物品，不能靠隐藏免疫吞道具。</t>
  </si>
  <si>
    <t>SUP05</t>
  </si>
  <si>
    <t>中断边界</t>
  </si>
  <si>
    <t>P1首测允许中断预备动作与追击；正在生效的打击不被倒流取消，需等到下一可中断时机。</t>
  </si>
  <si>
    <t>早看出队友危险并提前使用，而非已经受伤后反悔。</t>
  </si>
  <si>
    <t>UI显示可干扰状态；玩法不清楚时简化成下一段固定短收招，不堆复杂免疫。</t>
  </si>
  <si>
    <t>SUP06</t>
  </si>
  <si>
    <t>供应限制</t>
  </si>
  <si>
    <t>每场外围约2件作为起点，点位位置可变；不无限刷新，不通过Boss拖延刷永久金币。</t>
  </si>
  <si>
    <t>有限机会让队伍选择何时出场、何时使用。</t>
  </si>
  <si>
    <t>普通战后搜集不受限；未用道具可装入共享箱进入下一关。</t>
  </si>
  <si>
    <t>SUP07</t>
  </si>
  <si>
    <t>不能靠禁售后搜刮</t>
  </si>
  <si>
    <t>战后仍可拾取并继承干扰器；不设置道具过期、结算清除、强制装箱倒计时。</t>
  </si>
  <si>
    <t>留到战后获得的是下一关选择；战中用掉换的是本关时间、生存和救援窗口。</t>
  </si>
  <si>
    <t>由玩家决定保留或使用，不伪装成必须现在领取的奖励。</t>
  </si>
  <si>
    <t>SUP08</t>
  </si>
  <si>
    <t>反连续控制</t>
  </si>
  <si>
    <t>建议全队干扰有共享短冷却；本场有限供应，不能轮流无限打断。</t>
  </si>
  <si>
    <t>支援是一次战术机会，不取代挑战者操作。</t>
  </si>
  <si>
    <t>冷却数值待测，先用20秒；遗留跨关道具仍受同一限制。</t>
  </si>
  <si>
    <t>SUP09</t>
  </si>
  <si>
    <t>外围路线</t>
  </si>
  <si>
    <t>一段短、可见回笼方向的外围搜集线路；不设置独立副本、小怪战或收集多把钥匙。</t>
  </si>
  <si>
    <t>短期离开造成实际输出损失；Boss当前状态决定值不值得。</t>
  </si>
  <si>
    <t>往返距离要实测，路线太长就只剩固定跑腿。</t>
  </si>
  <si>
    <t>SUP10</t>
  </si>
  <si>
    <t>独立职责可切换</t>
  </si>
  <si>
    <t>不设专门搜集职业；谁道具栏有空、谁生命需要调整、谁更适合进场，由队伍选择。</t>
  </si>
  <si>
    <t>同一玩家在一场中可协战→搜集→支援→接班。</t>
  </si>
  <si>
    <t>不能让辅助玩家长期没有战斗参与感。</t>
  </si>
  <si>
    <t>SUP11</t>
  </si>
  <si>
    <t>单人与多人映射</t>
  </si>
  <si>
    <t>单人可在P0完成后通过空投试用同一物品；多人主要从外围应援箱取得。</t>
  </si>
  <si>
    <t>单人可测控场反馈和选择时机，多人仍需单独验证机会成本。</t>
  </si>
  <si>
    <t>不要把单人试用结果报告成外围机制已成立。</t>
  </si>
  <si>
    <t>SUP12</t>
  </si>
  <si>
    <t>对照实验</t>
  </si>
  <si>
    <t>同一Boss/人数/初始装备，比较全员协战、择机取支援、无脑固定跑腿三种策略。</t>
  </si>
  <si>
    <t>观察通关时间、倒地次数、外出秒数、支援收益及角色切换。</t>
  </si>
  <si>
    <t>随机试验顺序、记录经验差异；小样本只做方向判断。</t>
  </si>
  <si>
    <t>SUP13</t>
  </si>
  <si>
    <t>通过标准</t>
  </si>
  <si>
    <t>至少存在危险阶段值得支援、稳定输出阶段值得留场；参与者能说出外出和使用的理由。</t>
  </si>
  <si>
    <t>两种选择随局势变化，而不是一条固定最优脚本。</t>
  </si>
  <si>
    <t>不能预设每队每场必须外出几次作为硬KPI。</t>
  </si>
  <si>
    <t>SUP14</t>
  </si>
  <si>
    <t>失败时怎么办</t>
  </si>
  <si>
    <t>若无人外出，先调整点位路程、取用时间和窗口质量；若固定跑腿最优，降低连续收益或供应。</t>
  </si>
  <si>
    <t>调整单一变量定位问题。</t>
  </si>
  <si>
    <t>不优先靠新增10种武器、禁止战后搜刮或必需钥匙来补救。</t>
  </si>
  <si>
    <t>原型物品保持少量。箱子是跨关取舍，不是战中补给仓。一个Boss只能验证装箱功能，不能证明长线配装乐趣。</t>
  </si>
  <si>
    <t>对象</t>
  </si>
  <si>
    <t>规格</t>
  </si>
  <si>
    <t>出现/使用时机</t>
  </si>
  <si>
    <t>继承与边界</t>
  </si>
  <si>
    <t>IT01</t>
  </si>
  <si>
    <t>双手大剑</t>
  </si>
  <si>
    <t>一把武器，轻击和重击；不耗弹药，不做耐久。</t>
  </si>
  <si>
    <t>准备阶段默认装备；可用占位外观。</t>
  </si>
  <si>
    <t>可装箱占一格；放下后可再拾；武器栏只能一把。</t>
  </si>
  <si>
    <t>IT02</t>
  </si>
  <si>
    <t>恢复药</t>
  </si>
  <si>
    <t>一次性恢复30生命，建议未满生命时使用。</t>
  </si>
  <si>
    <t>开局少量携带、空投、战后外围可拾取。</t>
  </si>
  <si>
    <t>占一道具栏；未用可装箱；已消耗不恢复。</t>
  </si>
  <si>
    <t>IT03</t>
  </si>
  <si>
    <t>精力饮料</t>
  </si>
  <si>
    <t>一次性恢复50精力，满值不超上限。</t>
  </si>
  <si>
    <t>随机空投或场地物资。</t>
  </si>
  <si>
    <t>占一道具栏；无隐藏额外储备数量。</t>
  </si>
  <si>
    <t>IT04</t>
  </si>
  <si>
    <t>擂台干扰器</t>
  </si>
  <si>
    <t>P1候选控场支援物品，不纳入P0主线完成条件。</t>
  </si>
  <si>
    <t>多人外围应援箱；单人可选调试空投测试。</t>
  </si>
  <si>
    <t>属于普通可继承道具，战后可继续拾取，未用可入箱。</t>
  </si>
  <si>
    <t>IT05</t>
  </si>
  <si>
    <t>初始装备</t>
  </si>
  <si>
    <t>本轮开局武器与道具不享有额外自动继承资格。</t>
  </si>
  <si>
    <t>开始新一轮时由验证配置发放。</t>
  </si>
  <si>
    <t>“只有箱内跨关”目前为解释性提案，结束时明确提示。</t>
  </si>
  <si>
    <t>CH01</t>
  </si>
  <si>
    <t>中央共享箱</t>
  </si>
  <si>
    <t>实体交互对象＋两格UI，单人两格。</t>
  </si>
  <si>
    <t>Boss被击败并停止战斗后在笼中央出现。</t>
  </si>
  <si>
    <t>战中不存在；结算只生成一次；失败不生成胜利奖励箱。</t>
  </si>
  <si>
    <t>CH02</t>
  </si>
  <si>
    <t>容量</t>
  </si>
  <si>
    <t>开局玩家数×2，P0开局玩家数=1。</t>
  </si>
  <si>
    <t>后续联机建议开局锁定人数。</t>
  </si>
  <si>
    <t>倒地、离笼不影响容量；中途加入规则不在P0。</t>
  </si>
  <si>
    <t>CH03</t>
  </si>
  <si>
    <t>存取</t>
  </si>
  <si>
    <t>玩家随身物品存入，箱中物品取出到合法栏位；一件一格。</t>
  </si>
  <si>
    <t>胜利后可反复整理，不限制时间。</t>
  </si>
  <si>
    <t>箱满拒绝并说明；不让武器落到道具栏；不凭空复制。</t>
  </si>
  <si>
    <t>CH04</t>
  </si>
  <si>
    <t>战后普通搜刮</t>
  </si>
  <si>
    <t>保留未搜物资和地面掉落，允许离开八角笼拾取。</t>
  </si>
  <si>
    <t>直到玩家主动确认离开。</t>
  </si>
  <si>
    <t>不冻结Boss死前物品清单，不清空空投，不锁外围。</t>
  </si>
  <si>
    <t>CH05</t>
  </si>
  <si>
    <t>随身未入箱</t>
  </si>
  <si>
    <t>结束前展示将被舍弃的随身物品，可取消返回继续装箱。</t>
  </si>
  <si>
    <t>玩家主动结算确认。</t>
  </si>
  <si>
    <t>不偷偷自动带入下一关，也不在未确认前删除。</t>
  </si>
  <si>
    <t>CH06</t>
  </si>
  <si>
    <t>物品状态</t>
  </si>
  <si>
    <t>以稳定item_id和实例状态保存；无弹药字段。</t>
  </si>
  <si>
    <t>建立携带/箱子/地面唯一归属。</t>
  </si>
  <si>
    <t>基础原型不加品质、耐久、词条与堆叠。</t>
  </si>
  <si>
    <t>CH07</t>
  </si>
  <si>
    <t>快照测试</t>
  </si>
  <si>
    <t>保存箱内两件物品，再用调试入口清空并恢复，核对ID和数量。</t>
  </si>
  <si>
    <t>P0不用第二只Boss验证数据传递。</t>
  </si>
  <si>
    <t>新开一轮与模拟同轮继承分开，后者不刷新复活次数。</t>
  </si>
  <si>
    <t>CH08</t>
  </si>
  <si>
    <t>长期资产</t>
  </si>
  <si>
    <t>跨关继承不等于跨轮永久保管。</t>
  </si>
  <si>
    <t>整轮结束后规则待后续局外系统明确。</t>
  </si>
  <si>
    <t>P0只保留结果与测试快照，不自动造永久装备仓库。</t>
  </si>
  <si>
    <t>CH09</t>
  </si>
  <si>
    <t>空武器保底</t>
  </si>
  <si>
    <t>建议简易徒手或始终允许重新拾回大剑，防止所有武器装箱后无法操作。</t>
  </si>
  <si>
    <t>战后无需攻击，主要作为调试与后续关卡保底。</t>
  </si>
  <si>
    <t>不因此新增复杂拳击战斗体系。</t>
  </si>
  <si>
    <t>状态描述是计划台账。未读取实际代码或没有验收证据时，不得改成“完成”。不在本次任务中自动创建GitHub Issue。</t>
  </si>
  <si>
    <t>阶段</t>
  </si>
  <si>
    <t>任务</t>
  </si>
  <si>
    <t>范围</t>
  </si>
  <si>
    <t>依赖</t>
  </si>
  <si>
    <t>完成标准</t>
  </si>
  <si>
    <t>责任角色</t>
  </si>
  <si>
    <t>T01</t>
  </si>
  <si>
    <t>核对仓库与建立最小场景</t>
  </si>
  <si>
    <t>Godot 4.7.2；平地场地，LowPolyHuman2 双手大剑角色与 Boss。</t>
  </si>
  <si>
    <t>无</t>
  </si>
  <si>
    <t>可运行单人场景，无需观众AI。</t>
  </si>
  <si>
    <t>完成</t>
  </si>
  <si>
    <t>程序员</t>
  </si>
  <si>
    <t>T02</t>
  </si>
  <si>
    <t>第三人称移动与镜头</t>
  </si>
  <si>
    <t>移动、转向、镜头遮挡处理、笼边观察。</t>
  </si>
  <si>
    <t>沿边界移动仍能看清玩家与Boss预备动作。</t>
  </si>
  <si>
    <t>T03</t>
  </si>
  <si>
    <t>大剑轻重攻击</t>
  </si>
  <si>
    <t>两种时序、明确命中体积、一次攻击单次结算。</t>
  </si>
  <si>
    <t>调试可核对命中，无穿墙多段重复扣血。</t>
  </si>
  <si>
    <t>T04</t>
  </si>
  <si>
    <t>翻滚与精力</t>
  </si>
  <si>
    <t>无敌时间窗、消耗、恢复、不足反馈。</t>
  </si>
  <si>
    <t>早滚/正确滚/晚滚有差异，无法永久无敌。</t>
  </si>
  <si>
    <t>T05</t>
  </si>
  <si>
    <t>生命、受击和状态</t>
  </si>
  <si>
    <t>伤害反馈，攻击/翻滚/倒地优先级。</t>
  </si>
  <si>
    <t>T03,T04</t>
  </si>
  <si>
    <t>受击一次扣对应生命，倒地停止攻击。</t>
  </si>
  <si>
    <t>T06</t>
  </si>
  <si>
    <t>Boss状态与第一招</t>
  </si>
  <si>
    <t>追击、横扫、锁定方向、收招。</t>
  </si>
  <si>
    <t>不用道具可反复读招、躲招和反击。</t>
  </si>
  <si>
    <t>T07</t>
  </si>
  <si>
    <t>Boss另外两招</t>
  </si>
  <si>
    <t>延迟重砸与短距突进；限制重复。</t>
  </si>
  <si>
    <t>提前滚与无限后退都不是通用无脑解。</t>
  </si>
  <si>
    <t>T08</t>
  </si>
  <si>
    <t>动作反馈与首轮调参</t>
  </si>
  <si>
    <t>双手握持、攻击时钟、三招动作和反馈已实现；首轮自动检查通过，手感待真人复验。</t>
  </si>
  <si>
    <t>受伤原因可解释；先修动作再改数值。</t>
  </si>
  <si>
    <t>策划＋程序员</t>
  </si>
  <si>
    <t>T09</t>
  </si>
  <si>
    <t>准备、时限与胜败</t>
  </si>
  <si>
    <t>开始按钮、挑战者禁出、胜利停止伤害、超时失败。</t>
  </si>
  <si>
    <t>三种结果分支互斥，同局只结算一次。</t>
  </si>
  <si>
    <t>T10</t>
  </si>
  <si>
    <t>整轮两次单人复活</t>
  </si>
  <si>
    <t>同Boss保血量，时钟继续；第三次倒地失败。</t>
  </si>
  <si>
    <t>仅新一轮重置两次，复起落点和保护正常。</t>
  </si>
  <si>
    <t>T11</t>
  </si>
  <si>
    <t>栏位、两道具与空投</t>
  </si>
  <si>
    <t>一武器两道具，恢复药/精力饮料，合法落点随机空投。</t>
  </si>
  <si>
    <t>可替换与消耗，满栏明确，战后未拾物保留。</t>
  </si>
  <si>
    <t>T12</t>
  </si>
  <si>
    <t>战后自由搜刮</t>
  </si>
  <si>
    <t>Boss死后解除禁出，外围少量静态物资可拾。</t>
  </si>
  <si>
    <t>不限制时长，不冻结掉落，不清空地面。</t>
  </si>
  <si>
    <t>T13</t>
  </si>
  <si>
    <t>中央继承箱与确认</t>
  </si>
  <si>
    <t>胜利中央生成两格箱，存取、满格提示、离开确认。</t>
  </si>
  <si>
    <t>战中无箱，箱满不吞物，未入箱有舍弃提示。</t>
  </si>
  <si>
    <t>T14</t>
  </si>
  <si>
    <t>结果重开与快照往返</t>
  </si>
  <si>
    <t>记录战斗用时、倒地次数；保存/恢复箱内测试数据。</t>
  </si>
  <si>
    <t>T10,T13</t>
  </si>
  <si>
    <t>连续重开无残留Boss、旧空投或重复箱；往返不造额外物品。</t>
  </si>
  <si>
    <t>T15</t>
  </si>
  <si>
    <t>P0-验收</t>
  </si>
  <si>
    <t>手动核心用例与试玩记录</t>
  </si>
  <si>
    <t>自动功能回归与实际渲染检查已做；真人轻重取舍、镜头与平衡复验待补。</t>
  </si>
  <si>
    <t>核心功能通过，发现问题可复现，试玩未测项仍空白。</t>
  </si>
  <si>
    <t>进行中</t>
  </si>
  <si>
    <t>QA＋策划</t>
  </si>
  <si>
    <t>T16</t>
  </si>
  <si>
    <t>可选</t>
  </si>
  <si>
    <t>单机支援效果样机</t>
  </si>
  <si>
    <t>仅调试一件干扰器，观察控场可读性与是否压制三招。</t>
  </si>
  <si>
    <t>不能把效果测试当作外围动力验证。</t>
  </si>
  <si>
    <t>候选</t>
  </si>
  <si>
    <t>程序员＋策划</t>
  </si>
  <si>
    <t>T17</t>
  </si>
  <si>
    <t>双人基本协作</t>
  </si>
  <si>
    <t>联网、救援、五秒交接、人数血量基线。</t>
  </si>
  <si>
    <t>P0通过</t>
  </si>
  <si>
    <t>两个真实玩家完成一场；未在P0提前实施。</t>
  </si>
  <si>
    <t>后续</t>
  </si>
  <si>
    <t>T18</t>
  </si>
  <si>
    <t>外围支援A/B试玩</t>
  </si>
  <si>
    <t>加入应援箱、干扰器与短路线，比较不同协作策略。</t>
  </si>
  <si>
    <t>留场和出场分别在某些局势下更合理，非固定跑腿。</t>
  </si>
  <si>
    <t>策划＋QA</t>
  </si>
  <si>
    <t>T19</t>
  </si>
  <si>
    <t>跨Boss与长期系统</t>
  </si>
  <si>
    <t>真实第二Boss、赌约、计分金币、局外选装、隐藏Boss。</t>
  </si>
  <si>
    <t>P1假设通过</t>
  </si>
  <si>
    <t>另行收敛范围，不自动加入P0。</t>
  </si>
  <si>
    <t>策划</t>
  </si>
  <si>
    <t>优先正常可玩路径与少量高价值边界。不扩展为安全审计或大量无关压力测试；具体观察必须在执行后填写。</t>
  </si>
  <si>
    <t>步骤</t>
  </si>
  <si>
    <t>预期</t>
  </si>
  <si>
    <t>观察/缺陷</t>
  </si>
  <si>
    <t>QA01</t>
  </si>
  <si>
    <t>移动镜头</t>
  </si>
  <si>
    <t>沿笼边移动并持续转镜头；靠近Boss。</t>
  </si>
  <si>
    <t>人物与Boss预备动作可见；无遮挡死角导致无法躲招。</t>
  </si>
  <si>
    <t>未测</t>
  </si>
  <si>
    <t>自动镜头/输入检查通过；用户反馈Boss出现在角色头上，已增加落地修复与回归，真人镜头复验待做。</t>
  </si>
  <si>
    <t>QA02</t>
  </si>
  <si>
    <t>一次命中</t>
  </si>
  <si>
    <t>用单次轻击同时接触Boss多个碰撞体。</t>
  </si>
  <si>
    <t>本次攻击只扣一次配置伤害。</t>
  </si>
  <si>
    <t>通过</t>
  </si>
  <si>
    <t>自动图形检查：同次轻击对重叠受击区只扣22生命。</t>
  </si>
  <si>
    <t>QA03</t>
  </si>
  <si>
    <t>轻重取舍</t>
  </si>
  <si>
    <t>分别在横扫和重砸收招期使用轻击/重击。</t>
  </si>
  <si>
    <t>至少存在轻击安全而重击有风险的窗口。</t>
  </si>
  <si>
    <t>自动时序验证：横扫收招0.8秒，重砸收招1.65秒；真人轻重取舍待测。</t>
  </si>
  <si>
    <t>QA04</t>
  </si>
  <si>
    <t>无敌窗口</t>
  </si>
  <si>
    <t>在同一Boss招式前提前、准确、过晚翻滚。</t>
  </si>
  <si>
    <t>仅无敌窗口重叠生效伤害时规避；整段翻滚并非都无敌。</t>
  </si>
  <si>
    <t>自动检查：提前/准确/过晚翻滚与无敌区间0.08–0.28秒一致。</t>
  </si>
  <si>
    <t>QA05</t>
  </si>
  <si>
    <t>精力耗尽</t>
  </si>
  <si>
    <t>连续翻滚到不足，再尝试翻滚和普通移动。</t>
  </si>
  <si>
    <t>精力不负数，无法免费攻击或翻滚；仍可走位，恢复足够精力后攻击。</t>
  </si>
  <si>
    <t>自动检查：精力不足不能轻重击或翻滚；仍可移动与恢复。</t>
  </si>
  <si>
    <t>QA06</t>
  </si>
  <si>
    <t>Boss方向锁定</t>
  </si>
  <si>
    <t>在重砸前摇末段侧移。</t>
  </si>
  <si>
    <t>Boss不在生效瞬间转向命中已离开范围的玩家。</t>
  </si>
  <si>
    <t>自动检查：三招前摇开始后方向锁定，侧移不被瞬时转向命中。</t>
  </si>
  <si>
    <t>QA07</t>
  </si>
  <si>
    <t>基础可通关</t>
  </si>
  <si>
    <t>不使用恢复药和特殊道具，熟悉后尝试击败Boss。</t>
  </si>
  <si>
    <t>允许纯基础操作取胜；不存在必须等某空投的阶段。</t>
  </si>
  <si>
    <t>自动完整对练图形模式：种子7与42获胜；种子123在Boss余24生命时失败。不是真人试玩结论。</t>
  </si>
  <si>
    <t>QA08</t>
  </si>
  <si>
    <t>单人两次复活</t>
  </si>
  <si>
    <t>连续经历三次倒地且不击杀Boss。</t>
  </si>
  <si>
    <t>前两次各扣一次复活并恢复；第三次失败。</t>
  </si>
  <si>
    <t>图形自动验收：前两次倒地各扣一次机会；第三次失败。</t>
  </si>
  <si>
    <t>QA09</t>
  </si>
  <si>
    <t>复活不重开</t>
  </si>
  <si>
    <t>伤害Boss后倒地再复起。</t>
  </si>
  <si>
    <t>Boss残余生命保留，计时未重置，复活余量减少。</t>
  </si>
  <si>
    <t>图形自动验收：Boss从600扣到480后倒地复起，仍为480；时钟继续，复活余量减少。</t>
  </si>
  <si>
    <t>QA10</t>
  </si>
  <si>
    <t>时间到点</t>
  </si>
  <si>
    <t>不击败Boss，等待硬时限。</t>
  </si>
  <si>
    <t>只结算超时失败，停止AI和伤害，不生成胜利箱。</t>
  </si>
  <si>
    <t>图形自动验收：主动战斗及倒地复起期间超时均失败；停止AI/伤害/新空投，无胜利箱。</t>
  </si>
  <si>
    <t>QA11</t>
  </si>
  <si>
    <t>空投合法性</t>
  </si>
  <si>
    <t>观察多轮空投并拾取。</t>
  </si>
  <si>
    <t>在可达笼内落地，有提示，未拾道具在胜利后保留。</t>
  </si>
  <si>
    <t>图形自动验收：空投在半径3–8m内预告后落地；每轮最多3件，胜利后未拾物仍保留。</t>
  </si>
  <si>
    <t>QA12</t>
  </si>
  <si>
    <t>栏位上限</t>
  </si>
  <si>
    <t>尝试拾取第二武器或第三道具。</t>
  </si>
  <si>
    <t>提示交换或拒绝；不产生隐藏背包，不吞旧物品。</t>
  </si>
  <si>
    <t>图形自动验收：一武器两道具；满栏拒绝，显式交换旧物落地，无隐藏背包。</t>
  </si>
  <si>
    <t>QA13</t>
  </si>
  <si>
    <t>道具消耗</t>
  </si>
  <si>
    <t>缺生命/精力时分别使用对应道具。</t>
  </si>
  <si>
    <t>一次生效一次消耗，恢复不超过上限。</t>
  </si>
  <si>
    <t>图形自动验收：药品恢复30生命、饮料50精力；只消耗一次，满值保留道具。</t>
  </si>
  <si>
    <t>QA14</t>
  </si>
  <si>
    <t>战中无箱</t>
  </si>
  <si>
    <t>开始战斗，等待并反复寻找中央。</t>
  </si>
  <si>
    <t>箱子不存在，也没有可存取UI。</t>
  </si>
  <si>
    <t>图形自动验收：准备与战斗无继承箱，无存取入口。</t>
  </si>
  <si>
    <t>QA15</t>
  </si>
  <si>
    <t>胜利生成箱</t>
  </si>
  <si>
    <t>击败Boss，观察中央和残留攻击。</t>
  </si>
  <si>
    <t>箱子只出现一个；Boss及残留判定不再造成伤害。</t>
  </si>
  <si>
    <t>图形自动验收：胜利只生成一个中央箱；关闭残留伤害，重复事件不重复生成。</t>
  </si>
  <si>
    <t>QA16</t>
  </si>
  <si>
    <t>胜利后离笼捡原有外围物品与落地空投，并等待。</t>
  </si>
  <si>
    <t>不封锁、不清空、不计搜刮倒计时；可继续返回箱子。</t>
  </si>
  <si>
    <t>图形自动验收：胜利解除八边禁出，可走到外围；无搜刮倒计时，落地空投与静态物资保留。</t>
  </si>
  <si>
    <t>QA17</t>
  </si>
  <si>
    <t>两格容量</t>
  </si>
  <si>
    <t>单人依次放入三件物品。</t>
  </si>
  <si>
    <t>前两件成功，第三件明确拒绝或要求交换；不删除或复制物品。</t>
  </si>
  <si>
    <t>图形自动验收：两件入箱成功，第三件拒绝且原物仍在随身栏。</t>
  </si>
  <si>
    <t>QA18</t>
  </si>
  <si>
    <t>来源一致</t>
  </si>
  <si>
    <t>分别用初始道具和本轮拾取道具装箱。</t>
  </si>
  <si>
    <t>两种来源都能保存，不歧视本轮拾取物。</t>
  </si>
  <si>
    <t>图形自动验收：初始物品和新拾物均能装箱/取出；实例ID不变。</t>
  </si>
  <si>
    <t>QA19</t>
  </si>
  <si>
    <t>确认可取消</t>
  </si>
  <si>
    <t>随身还有未入箱物品时选择结束，再取消。</t>
  </si>
  <si>
    <t>提示舍弃范围，取消后回到整备且物品未被删除。</t>
  </si>
  <si>
    <t>图形自动验收及画面检查：显示随身清单与地面舍弃数量；取消后物品保持不变。</t>
  </si>
  <si>
    <t>QA20</t>
  </si>
  <si>
    <t>快照往返</t>
  </si>
  <si>
    <t>保存箱内两件物品，清理场景，再用调试入口恢复。</t>
  </si>
  <si>
    <t>ID与数量一致；没有额外随身物；不被误判成新一轮刷新复活。</t>
  </si>
  <si>
    <t>图形自动验收：快照往返后ID/数量一致，无额外随身或地面物品；复活与时钟不刷新。</t>
  </si>
  <si>
    <t>QA21</t>
  </si>
  <si>
    <t>重开独立</t>
  </si>
  <si>
    <t>分别胜利、超时、耗尽复活后重开。</t>
  </si>
  <si>
    <t>新局两次复活、满初始状态；无旧Boss、旧箱、旧掉落或旧时钟。</t>
  </si>
  <si>
    <t>图形自动验收：胜败后新局恢复两次复活及初始物资，旧Boss残血/箱/空投/时钟均清除。</t>
  </si>
  <si>
    <t>QA22</t>
  </si>
  <si>
    <t>数据真实性</t>
  </si>
  <si>
    <t>查看本表状态和试玩记录。</t>
  </si>
  <si>
    <t>未实际测试的状态是未测，观察结果留空，不使用假完成率。</t>
  </si>
  <si>
    <t>P0验收</t>
  </si>
  <si>
    <t>表格复核：自动检查注明来源，真人镜头与轻重取舍仍未测；PT01只记录真实用户缺陷反馈。</t>
  </si>
  <si>
    <t>蓝色列为输入；命中归因率=可解释受击次数/总受击次数。空白表示未测，不代表零；不从小样本推导统计显著性。</t>
  </si>
  <si>
    <t>测试者/版本</t>
  </si>
  <si>
    <t>战斗秒数</t>
  </si>
  <si>
    <t>总受击次数</t>
  </si>
  <si>
    <t>可解释受击次数</t>
  </si>
  <si>
    <t>使用复活</t>
  </si>
  <si>
    <t>轻/重击选择备注</t>
  </si>
  <si>
    <t>空投选择理由</t>
  </si>
  <si>
    <t>命中归因率</t>
  </si>
  <si>
    <t>主要问题</t>
  </si>
  <si>
    <t>下一次只改一项</t>
  </si>
  <si>
    <t>PT01</t>
  </si>
  <si>
    <t>用户反馈 / P0-2</t>
  </si>
  <si>
    <t>Boss出现在角色头上；要求起身收势改为0.05秒。</t>
  </si>
  <si>
    <t>修复落地并缩短起身；真人复验待补。</t>
  </si>
  <si>
    <t>PT02</t>
  </si>
  <si>
    <t>PT03</t>
  </si>
  <si>
    <t>PT04</t>
  </si>
  <si>
    <t>PT05</t>
  </si>
  <si>
    <t>PT06</t>
  </si>
  <si>
    <t>PT07</t>
  </si>
  <si>
    <t>PT08</t>
  </si>
  <si>
    <t>PT09</t>
  </si>
  <si>
    <t>PT10</t>
  </si>
  <si>
    <t>PT11</t>
  </si>
  <si>
    <t>PT12</t>
  </si>
  <si>
    <t>PT13</t>
  </si>
  <si>
    <t>PT14</t>
  </si>
  <si>
    <t>PT15</t>
  </si>
  <si>
    <t>PT16</t>
  </si>
  <si>
    <t>PT17</t>
  </si>
  <si>
    <t>PT18</t>
  </si>
  <si>
    <t>PT19</t>
  </si>
  <si>
    <t>PT20</t>
  </si>
  <si>
    <t>蓝色为可调输入，绿色为用户约束取值，黑色为公式。所有战斗初值只用于开始测试，不是效果承诺或实测结果。</t>
  </si>
  <si>
    <t>参数</t>
  </si>
  <si>
    <t>值</t>
  </si>
  <si>
    <t>单位</t>
  </si>
  <si>
    <t>来源/性质</t>
  </si>
  <si>
    <t>解释</t>
  </si>
  <si>
    <t>P01</t>
  </si>
  <si>
    <t>单人开局人数</t>
  </si>
  <si>
    <t>人</t>
  </si>
  <si>
    <t>用户规则在P0的取值</t>
  </si>
  <si>
    <t>仅用于箱容量；不是正式人数上限</t>
  </si>
  <si>
    <t>P02</t>
  </si>
  <si>
    <t>每玩家箱格</t>
  </si>
  <si>
    <t>格/人</t>
  </si>
  <si>
    <t>箱容量=人数×2</t>
  </si>
  <si>
    <t>P03</t>
  </si>
  <si>
    <t>共享箱格</t>
  </si>
  <si>
    <t>格</t>
  </si>
  <si>
    <t>公式</t>
  </si>
  <si>
    <t>根据开局人数和每人格数计算</t>
  </si>
  <si>
    <t>P04</t>
  </si>
  <si>
    <t>每人武器栏</t>
  </si>
  <si>
    <t>栏</t>
  </si>
  <si>
    <t>不叠加隐藏副武器</t>
  </si>
  <si>
    <t>P05</t>
  </si>
  <si>
    <t>每人道具栏</t>
  </si>
  <si>
    <t>不设额外背包</t>
  </si>
  <si>
    <t>P06</t>
  </si>
  <si>
    <t>整轮复活机会</t>
  </si>
  <si>
    <t>次</t>
  </si>
  <si>
    <t>新一轮才重置</t>
  </si>
  <si>
    <t>P07</t>
  </si>
  <si>
    <t>生命上限</t>
  </si>
  <si>
    <t>生命</t>
  </si>
  <si>
    <t>策划测试初值</t>
  </si>
  <si>
    <t>未经过真实试玩校准</t>
  </si>
  <si>
    <t>P08</t>
  </si>
  <si>
    <t>精力上限</t>
  </si>
  <si>
    <t>与翻滚成本共同调试</t>
  </si>
  <si>
    <t>P09</t>
  </si>
  <si>
    <t>普通移动速度</t>
  </si>
  <si>
    <t>场景单位/秒</t>
  </si>
  <si>
    <t>随实际角色/场地尺度修正</t>
  </si>
  <si>
    <t>P10</t>
  </si>
  <si>
    <t>翻滚精力成本</t>
  </si>
  <si>
    <t>不能通过负数精力免费执行</t>
  </si>
  <si>
    <t>P11</t>
  </si>
  <si>
    <t>翻滚动作时长</t>
  </si>
  <si>
    <t>秒</t>
  </si>
  <si>
    <t>与无敌区间分离</t>
  </si>
  <si>
    <t>P12</t>
  </si>
  <si>
    <t>无敌起点</t>
  </si>
  <si>
    <t>相对翻滚动作开始</t>
  </si>
  <si>
    <t>P13</t>
  </si>
  <si>
    <t>无敌终点</t>
  </si>
  <si>
    <t>不得超过动作总长</t>
  </si>
  <si>
    <t>P14</t>
  </si>
  <si>
    <t>无敌持续</t>
  </si>
  <si>
    <t>起止差，非整段无敌</t>
  </si>
  <si>
    <t>P15</t>
  </si>
  <si>
    <t>精力恢复延迟</t>
  </si>
  <si>
    <t>停止耗精力后开始恢复</t>
  </si>
  <si>
    <t>P16</t>
  </si>
  <si>
    <t>精力恢复速度</t>
  </si>
  <si>
    <t>精力/秒</t>
  </si>
  <si>
    <t>普通移动可恢复</t>
  </si>
  <si>
    <t>P17</t>
  </si>
  <si>
    <t>满精力可连续支付翻滚</t>
  </si>
  <si>
    <t>只计算成本，不包含期间恢复</t>
  </si>
  <si>
    <t>P18</t>
  </si>
  <si>
    <t>轻击伤害</t>
  </si>
  <si>
    <t>先校准时序与有效命中率</t>
  </si>
  <si>
    <t>P19</t>
  </si>
  <si>
    <t>轻击前摇</t>
  </si>
  <si>
    <t>单段，不制作复杂连段</t>
  </si>
  <si>
    <t>P20</t>
  </si>
  <si>
    <t>轻击生效</t>
  </si>
  <si>
    <t>每攻击对同Boss一次结算</t>
  </si>
  <si>
    <t>P21</t>
  </si>
  <si>
    <t>轻击收招</t>
  </si>
  <si>
    <t>禁止免费无限取消</t>
  </si>
  <si>
    <t>P22</t>
  </si>
  <si>
    <t>轻击总时长</t>
  </si>
  <si>
    <t>前摇＋生效＋收招</t>
  </si>
  <si>
    <t>P23</t>
  </si>
  <si>
    <t>重击伤害</t>
  </si>
  <si>
    <t>需较大收招窗口</t>
  </si>
  <si>
    <t>P24</t>
  </si>
  <si>
    <t>重击精力成本</t>
  </si>
  <si>
    <t>轻击也消耗10精力，已按用户反馈修改。</t>
  </si>
  <si>
    <t>P25</t>
  </si>
  <si>
    <t>重击前摇</t>
  </si>
  <si>
    <t>不得到生效前随意吸附转向</t>
  </si>
  <si>
    <t>P26</t>
  </si>
  <si>
    <t>重击生效</t>
  </si>
  <si>
    <t>一次攻击一次结算</t>
  </si>
  <si>
    <t>P27</t>
  </si>
  <si>
    <t>重击收招</t>
  </si>
  <si>
    <t>攻击承诺的一部分</t>
  </si>
  <si>
    <t>P28</t>
  </si>
  <si>
    <t>重击总时长</t>
  </si>
  <si>
    <t>P29</t>
  </si>
  <si>
    <t>Boss单人生命</t>
  </si>
  <si>
    <t>非实测最终平衡值</t>
  </si>
  <si>
    <t>P30</t>
  </si>
  <si>
    <t>Boss战硬时限</t>
  </si>
  <si>
    <t>超时失败建议</t>
  </si>
  <si>
    <t>P31</t>
  </si>
  <si>
    <t>恢复药恢复量</t>
  </si>
  <si>
    <t>使用一次消耗一件</t>
  </si>
  <si>
    <t>P32</t>
  </si>
  <si>
    <t>精力饮料恢复量</t>
  </si>
  <si>
    <t>不超上限</t>
  </si>
  <si>
    <t>P33</t>
  </si>
  <si>
    <t>单人复起生命比例</t>
  </si>
  <si>
    <t>比例</t>
  </si>
  <si>
    <t>复起保留Boss残血与战斗用时</t>
  </si>
  <si>
    <t>P34</t>
  </si>
  <si>
    <t>单人复起生命</t>
  </si>
  <si>
    <t>生命上限×复起比例</t>
  </si>
  <si>
    <t>P35</t>
  </si>
  <si>
    <t>P1支援控场时间</t>
  </si>
  <si>
    <t>未来实验初值</t>
  </si>
  <si>
    <t>不属于P0必须功能</t>
  </si>
  <si>
    <t>P36</t>
  </si>
  <si>
    <t>P1支援共享冷却</t>
  </si>
  <si>
    <t>避免多人连续锁死Boss</t>
  </si>
  <si>
    <t>P37</t>
  </si>
  <si>
    <t>P1本场外围供应</t>
  </si>
  <si>
    <t>件</t>
  </si>
  <si>
    <t>战后仍可拾取并装箱</t>
  </si>
  <si>
    <t>P38</t>
  </si>
  <si>
    <t>P0任务总数</t>
  </si>
  <si>
    <t>项</t>
  </si>
  <si>
    <t>只统计阶段以P0开头的任务</t>
  </si>
  <si>
    <t>P39</t>
  </si>
  <si>
    <t>P0完成数</t>
  </si>
  <si>
    <t>没有验收证据不标完成</t>
  </si>
  <si>
    <t>P40</t>
  </si>
  <si>
    <t>P0完成率</t>
  </si>
  <si>
    <t>空分母不返回错误</t>
  </si>
  <si>
    <t>P41</t>
  </si>
  <si>
    <t>已测用例数</t>
  </si>
  <si>
    <t>阻塞不计实际执行完成</t>
  </si>
  <si>
    <t>P42</t>
  </si>
  <si>
    <t>通过用例数</t>
  </si>
  <si>
    <t>来自验收结果</t>
  </si>
  <si>
    <t>P43</t>
  </si>
  <si>
    <t>已测通过率</t>
  </si>
  <si>
    <t>未测显示空，不用0%伪装测过</t>
  </si>
  <si>
    <t>P44</t>
  </si>
  <si>
    <t>记录胜利数</t>
  </si>
  <si>
    <t>实际试玩输入</t>
  </si>
  <si>
    <t>P45</t>
  </si>
  <si>
    <t>胜利平均战斗时间</t>
  </si>
  <si>
    <t>未有胜利记录时留空</t>
  </si>
  <si>
    <t>P46</t>
  </si>
  <si>
    <t>轻击精力成本</t>
  </si>
  <si>
    <t>用户反馈后实现</t>
  </si>
  <si>
    <t>轻重击均消耗精力。</t>
  </si>
  <si>
    <t>P47</t>
  </si>
  <si>
    <t>翻滚起身收势</t>
  </si>
  <si>
    <t>用户确认 2026-09-07</t>
  </si>
  <si>
    <t>0.25→0.15→0.05，当前执行0.05；无额外无敌。</t>
  </si>
  <si>
    <t>P48</t>
  </si>
  <si>
    <t>倒地复起过渡</t>
  </si>
  <si>
    <t>P0-3实现初值</t>
  </si>
  <si>
    <t>战斗时钟继续。</t>
  </si>
  <si>
    <t>P49</t>
  </si>
  <si>
    <t>复起保护</t>
  </si>
  <si>
    <t>主动攻击提前终止。</t>
  </si>
  <si>
    <t>P50</t>
  </si>
  <si>
    <t>空投间隔下限</t>
  </si>
  <si>
    <t>与上限之间随机。</t>
  </si>
  <si>
    <t>P51</t>
  </si>
  <si>
    <t>空投间隔上限</t>
  </si>
  <si>
    <t>每轮独立随机。</t>
  </si>
  <si>
    <t>P52</t>
  </si>
  <si>
    <t>每轮最大空投</t>
  </si>
  <si>
    <t>未拾物资战后保留。</t>
  </si>
  <si>
    <t>P0采用的解释性选择在此明示。无需等待所有长期决策才能开发角色与Boss，但不能把未确认项写成永久产品规则。</t>
  </si>
  <si>
    <t>当前处理</t>
  </si>
  <si>
    <t>何时需要决定</t>
  </si>
  <si>
    <t>D01</t>
  </si>
  <si>
    <t>中央箱时机</t>
  </si>
  <si>
    <t>只在Boss胜利结束后中央出现，删除旧战中存取方案。</t>
  </si>
  <si>
    <t>用户最新确认</t>
  </si>
  <si>
    <t>立即按此修改文档与验收</t>
  </si>
  <si>
    <t>D02</t>
  </si>
  <si>
    <t>战后搜刮</t>
  </si>
  <si>
    <t>无限时自由搜刮，删除Boss死亡瞬间冻结地面物品方案。</t>
  </si>
  <si>
    <t>D03</t>
  </si>
  <si>
    <t>验证规模</t>
  </si>
  <si>
    <t>单人、一个Boss，删除两常规Boss＋隐藏Boss作为首版要求。</t>
  </si>
  <si>
    <t>立即收敛任务</t>
  </si>
  <si>
    <t>D04</t>
  </si>
  <si>
    <t>只有箱内跨关</t>
  </si>
  <si>
    <t>P0只保存箱内物品到测试快照；未入箱随身及地面物品在主动确认后舍弃，取消不删除。</t>
  </si>
  <si>
    <t>本次P0实现约定</t>
  </si>
  <si>
    <t>真实跨Boss与跨轮规则仍留后续阶段</t>
  </si>
  <si>
    <t>D05</t>
  </si>
  <si>
    <t>支援玩法</t>
  </si>
  <si>
    <t>外围应援箱提供控场道具，战后仍可拿并继承。</t>
  </si>
  <si>
    <t>策划提案，待验证</t>
  </si>
  <si>
    <t>P1实验前</t>
  </si>
  <si>
    <t>D06</t>
  </si>
  <si>
    <t>多人攻击边界</t>
  </si>
  <si>
    <t>建议常规武器笼外不伤Boss，控场支援有明确例外。</t>
  </si>
  <si>
    <t>P1外围实验前</t>
  </si>
  <si>
    <t>D07</t>
  </si>
  <si>
    <t>接班选取规则</t>
  </si>
  <si>
    <t>立即选人已确定，随机/轮转/优先级未确定。</t>
  </si>
  <si>
    <t>用户规则尚未细化</t>
  </si>
  <si>
    <t>P1救援交接前</t>
  </si>
  <si>
    <t>D08</t>
  </si>
  <si>
    <t>不擅定正式上限，先双人验证。</t>
  </si>
  <si>
    <t>P1联机设计前</t>
  </si>
  <si>
    <t>D09</t>
  </si>
  <si>
    <t>赌约范围与下注</t>
  </si>
  <si>
    <t>个人/全队、健康限制语义、扣不扣本金未定。</t>
  </si>
  <si>
    <t>P2赌约前</t>
  </si>
  <si>
    <t>D10</t>
  </si>
  <si>
    <t>局外成长类型</t>
  </si>
  <si>
    <t>横向选装还是永久属性未定；P0不做永久属性树。</t>
  </si>
  <si>
    <t>P2经济前</t>
  </si>
  <si>
    <t>D11</t>
  </si>
  <si>
    <t>积分门槛与多人系数</t>
  </si>
  <si>
    <t>不能使用P0单人一Boss结果假设已平衡完整Boss Rush。</t>
  </si>
  <si>
    <t>待验证</t>
  </si>
  <si>
    <t>真实连战与P1结果完成后</t>
  </si>
  <si>
    <t>D12</t>
  </si>
  <si>
    <t>调参记录</t>
  </si>
  <si>
    <t>试玩每轮优先修改一个变量；原值、新值、原因写入试玩表最后列。</t>
  </si>
  <si>
    <t>工作建议</t>
  </si>
  <si>
    <t>从首轮试玩开始</t>
  </si>
  <si>
    <t>D13</t>
  </si>
  <si>
    <t>代码事实与计划分离</t>
  </si>
  <si>
    <t>没有仓库读取或运行证据，不写“已实现”；本工作簿不替代实际代码审查。</t>
  </si>
  <si>
    <t>维护规则</t>
  </si>
  <si>
    <t>每次更新</t>
  </si>
  <si>
    <t>D14</t>
  </si>
  <si>
    <t>引用与来源</t>
  </si>
  <si>
    <t>产品约束来自本会话用户明确消息；控场支援、P0细则和数值为本次策划提案。未使用第三方游戏数据作为效果证据。</t>
  </si>
  <si>
    <t>来源说明</t>
  </si>
  <si>
    <t>长期保留</t>
  </si>
  <si>
    <t>D15</t>
  </si>
  <si>
    <t>2026-09-07 攻击与双手修正</t>
  </si>
  <si>
    <t>轻击10/重击20精力；忙碌点击丢弃；动作与伤害同钟；左右手握柄。</t>
  </si>
  <si>
    <t>已实现并自动验证</t>
  </si>
  <si>
    <t>真人手感持续复验</t>
  </si>
  <si>
    <t>D16</t>
  </si>
  <si>
    <t>2026-09-07 起身收势</t>
  </si>
  <si>
    <t>用户依次要求0.15、0.05秒；当前为0.05，滚动与无敌区间不变。</t>
  </si>
  <si>
    <t>用户确认，已实现</t>
  </si>
  <si>
    <t>0.05秒输入锁定回归通过</t>
  </si>
  <si>
    <t>D17</t>
  </si>
  <si>
    <t>2026-09-07 Boss在角色头上</t>
  </si>
  <si>
    <t>攻击期间按世界地面落地；实体改平直侧面。模拟离地可恢复，贴身突进60秒高度稳定。</t>
  </si>
  <si>
    <t>用户缺陷反馈，修复通过</t>
  </si>
  <si>
    <t>用户原现场未直接复现；待真人复验</t>
  </si>
  <si>
    <t>D18</t>
  </si>
  <si>
    <t>P0-1/P0-2 验收记录</t>
  </si>
  <si>
    <t>角色78项、Boss45项、骨骼27项通过；自动对练证明基础装备可胜。</t>
  </si>
  <si>
    <t>自动检查与渲染验证</t>
  </si>
  <si>
    <t>不等于真人乐趣与平衡验收</t>
  </si>
  <si>
    <t>D19</t>
  </si>
  <si>
    <t>P0-3 当前执行范围</t>
  </si>
  <si>
    <t>P0-3已实现：准备/时限/两次复活/道具空投/自由搜刮/两格箱/确认快照。图形自动检查69项通过。</t>
  </si>
  <si>
    <t>真人手感与平衡待复验</t>
  </si>
  <si>
    <t>D20</t>
  </si>
  <si>
    <t>P0-3 完整流程对练</t>
  </si>
  <si>
    <t>自动走位与基础攻击，67.75秒击败Boss进入搜刮，余76生命，未用道具与复活。</t>
  </si>
  <si>
    <t>自动验证，非真人试玩</t>
  </si>
  <si>
    <t>只证明流程可走通，不作最终平衡结论</t>
  </si>
  <si>
    <t>完成</t>
    <phoneticPr fontId="15" type="noConversion"/>
  </si>
  <si>
    <t>D21</t>
  </si>
  <si>
    <t>2026-09-07 默认入口缺失场地</t>
  </si>
  <si>
    <t>复现首帧物理位置未同步，Boss挤到玩家出生点，玩家被压入地下。角色物理延后启用，直接启动画面恢复。</t>
  </si>
  <si>
    <t>P1 已修复并复验</t>
  </si>
  <si>
    <t>默认入口11项通过，直接启动录帧确认</t>
  </si>
  <si>
    <t>D22</t>
  </si>
  <si>
    <t>2026-09-07 倒地误报失败</t>
  </si>
  <si>
    <t>首次、第二次倒地提示自动复活及剩余次数。机会耗尽后才显示失败与R重开。</t>
  </si>
  <si>
    <t>P2 已修复并复验</t>
  </si>
  <si>
    <t>新增6项提示与重开限制检查通过</t>
  </si>
  <si>
    <t>D23</t>
  </si>
  <si>
    <t>2026-09-07 箱子FBX缺贴图</t>
  </si>
  <si>
    <t>保留原FBX，暂时排除未使用素材导入。当前继承箱仍用程序模型。缺失的PolyPack_Main1.png未补齐。</t>
  </si>
  <si>
    <t>P3 导入报错已隔离</t>
  </si>
  <si>
    <t>接入FBX前需补齐原配贴图</t>
  </si>
  <si>
    <t>D24</t>
  </si>
  <si>
    <t>2026-09-07 修复后回归</t>
  </si>
  <si>
    <t>角色78、Boss45、动作27、流程75项通过，默认启动11项通过。60秒贴身检查及67.75秒完整自动战斗通过。</t>
  </si>
  <si>
    <t>无缓存副本首次导入无报错，手感验收仍待真人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</si>
</sst>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Calibri"/>
    </font>
    <font>
      <b/>
      <sz val="20"/>
      <color rgb="FFFFFFFF"/>
      <name val="Microsoft YaHei"/>
      <family val="2"/>
      <charset val="134"/>
    </font>
    <font>
      <sz val="11"/>
      <color rgb="FF607384"/>
      <name val="Microsoft YaHei"/>
      <family val="2"/>
      <charset val="134"/>
    </font>
    <font>
      <sz val="9"/>
      <color rgb="FF147D92"/>
      <name val="Microsoft YaHei"/>
      <family val="2"/>
      <charset val="134"/>
    </font>
    <font>
      <b/>
      <sz val="10"/>
      <color rgb="FFFFFFFF"/>
      <name val="Microsoft YaHei"/>
      <family val="2"/>
      <charset val="134"/>
    </font>
    <font>
      <sz val="10"/>
      <color rgb="FF243746"/>
      <name val="Microsoft YaHei"/>
      <family val="2"/>
      <charset val="134"/>
    </font>
    <font>
      <b/>
      <sz val="10"/>
      <color rgb="FF147D92"/>
      <name val="Microsoft YaHei"/>
      <family val="2"/>
      <charset val="134"/>
    </font>
    <font>
      <sz val="10"/>
      <color rgb="FF0000FF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b/>
      <sz val="11"/>
      <color rgb="FF00804A"/>
      <name val="Microsoft YaHei"/>
      <family val="2"/>
      <charset val="134"/>
    </font>
    <font>
      <b/>
      <sz val="11"/>
      <color rgb="FF000000"/>
      <name val="Microsoft YaHei"/>
      <family val="2"/>
      <charset val="134"/>
    </font>
    <font>
      <b/>
      <sz val="11"/>
      <color rgb="FF0000FF"/>
      <name val="Microsoft YaHei"/>
      <family val="2"/>
      <charset val="134"/>
    </font>
    <font>
      <sz val="9"/>
      <color rgb="FF147D92"/>
      <name val="Microsoft YaHei"/>
      <family val="2"/>
      <charset val="134"/>
    </font>
    <font>
      <sz val="10"/>
      <color rgb="FF147D92"/>
      <name val="Microsoft YaHei"/>
      <family val="2"/>
      <charset val="134"/>
    </font>
    <font>
      <sz val="11"/>
      <color theme="1"/>
      <name val="Calibri"/>
      <family val="2"/>
    </font>
    <font>
      <sz val="9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18334A"/>
      </patternFill>
    </fill>
    <fill>
      <patternFill patternType="solid">
        <fgColor rgb="FF147D92"/>
      </patternFill>
    </fill>
    <fill>
      <patternFill patternType="solid">
        <fgColor rgb="FFEDF5F7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4" fillId="0" borderId="0"/>
  </cellStyleXfs>
  <cellXfs count="30">
    <xf numFmtId="0" fontId="0" fillId="0" borderId="0" xfId="0"/>
    <xf numFmtId="0" fontId="4" fillId="3" borderId="0" xfId="1" applyFont="1" applyFill="1" applyAlignment="1">
      <alignment vertical="center" wrapText="1"/>
    </xf>
    <xf numFmtId="0" fontId="6" fillId="4" borderId="0" xfId="1" applyFont="1" applyFill="1" applyAlignment="1">
      <alignment vertical="top" wrapText="1"/>
    </xf>
    <xf numFmtId="0" fontId="5" fillId="4" borderId="0" xfId="1" applyFont="1" applyFill="1" applyAlignment="1">
      <alignment vertical="top" wrapText="1"/>
    </xf>
    <xf numFmtId="0" fontId="6" fillId="0" borderId="0" xfId="1" applyFont="1" applyAlignment="1">
      <alignment vertical="top" wrapText="1"/>
    </xf>
    <xf numFmtId="0" fontId="5" fillId="0" borderId="0" xfId="1" applyFont="1" applyAlignment="1">
      <alignment vertical="top" wrapText="1"/>
    </xf>
    <xf numFmtId="0" fontId="13" fillId="0" borderId="0" xfId="1" applyFont="1"/>
    <xf numFmtId="0" fontId="12" fillId="0" borderId="0" xfId="1" applyFont="1"/>
    <xf numFmtId="0" fontId="7" fillId="4" borderId="0" xfId="1" applyFont="1" applyFill="1" applyAlignment="1">
      <alignment vertical="top" wrapText="1"/>
    </xf>
    <xf numFmtId="0" fontId="7" fillId="0" borderId="0" xfId="1" applyFont="1" applyAlignment="1">
      <alignment vertical="top" wrapText="1"/>
    </xf>
    <xf numFmtId="9" fontId="8" fillId="4" borderId="0" xfId="1" applyNumberFormat="1" applyFont="1" applyFill="1" applyAlignment="1">
      <alignment vertical="top" wrapText="1"/>
    </xf>
    <xf numFmtId="9" fontId="8" fillId="0" borderId="0" xfId="1" applyNumberFormat="1" applyFont="1" applyAlignment="1">
      <alignment vertical="top" wrapText="1"/>
    </xf>
    <xf numFmtId="1" fontId="9" fillId="4" borderId="0" xfId="1" applyNumberFormat="1" applyFont="1" applyFill="1" applyAlignment="1">
      <alignment vertical="top" wrapText="1"/>
    </xf>
    <xf numFmtId="1" fontId="9" fillId="0" borderId="0" xfId="1" applyNumberFormat="1" applyFont="1" applyAlignment="1">
      <alignment vertical="top" wrapText="1"/>
    </xf>
    <xf numFmtId="1" fontId="10" fillId="4" borderId="0" xfId="1" applyNumberFormat="1" applyFont="1" applyFill="1" applyAlignment="1">
      <alignment vertical="top" wrapText="1"/>
    </xf>
    <xf numFmtId="1" fontId="11" fillId="4" borderId="0" xfId="1" applyNumberFormat="1" applyFont="1" applyFill="1" applyAlignment="1">
      <alignment vertical="top" wrapText="1"/>
    </xf>
    <xf numFmtId="1" fontId="11" fillId="0" borderId="0" xfId="1" applyNumberFormat="1" applyFont="1" applyAlignment="1">
      <alignment vertical="top" wrapText="1"/>
    </xf>
    <xf numFmtId="2" fontId="11" fillId="4" borderId="0" xfId="1" applyNumberFormat="1" applyFont="1" applyFill="1" applyAlignment="1">
      <alignment vertical="top" wrapText="1"/>
    </xf>
    <xf numFmtId="2" fontId="11" fillId="0" borderId="0" xfId="1" applyNumberFormat="1" applyFont="1" applyAlignment="1">
      <alignment vertical="top" wrapText="1"/>
    </xf>
    <xf numFmtId="2" fontId="10" fillId="0" borderId="0" xfId="1" applyNumberFormat="1" applyFont="1" applyAlignment="1">
      <alignment vertical="top" wrapText="1"/>
    </xf>
    <xf numFmtId="9" fontId="11" fillId="4" borderId="0" xfId="1" applyNumberFormat="1" applyFont="1" applyFill="1" applyAlignment="1">
      <alignment vertical="top" wrapText="1"/>
    </xf>
    <xf numFmtId="1" fontId="10" fillId="0" borderId="0" xfId="1" applyNumberFormat="1" applyFont="1" applyAlignment="1">
      <alignment vertical="top" wrapText="1"/>
    </xf>
    <xf numFmtId="9" fontId="10" fillId="0" borderId="0" xfId="1" applyNumberFormat="1" applyFont="1" applyAlignment="1">
      <alignment vertical="top" wrapText="1"/>
    </xf>
    <xf numFmtId="9" fontId="10" fillId="4" borderId="0" xfId="1" applyNumberFormat="1" applyFont="1" applyFill="1" applyAlignment="1">
      <alignment vertical="top" wrapText="1"/>
    </xf>
    <xf numFmtId="2" fontId="10" fillId="4" borderId="0" xfId="1" applyNumberFormat="1" applyFont="1" applyFill="1" applyAlignment="1">
      <alignment vertical="top" wrapText="1"/>
    </xf>
    <xf numFmtId="0" fontId="5" fillId="0" borderId="0" xfId="1" applyFont="1"/>
    <xf numFmtId="0" fontId="0" fillId="0" borderId="0" xfId="0"/>
    <xf numFmtId="0" fontId="1" fillId="2" borderId="0" xfId="1" applyFont="1" applyFill="1" applyAlignment="1">
      <alignment vertical="center"/>
    </xf>
    <xf numFmtId="0" fontId="3" fillId="0" borderId="0" xfId="1" applyFont="1"/>
    <xf numFmtId="0" fontId="2" fillId="0" borderId="0" xfId="1" applyFont="1" applyAlignment="1">
      <alignment vertical="center" wrapText="1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5</xdr:col>
      <xdr:colOff>1123950</xdr:colOff>
      <xdr:row>24</xdr:row>
      <xdr:rowOff>104775</xdr:rowOff>
    </xdr:to>
    <xdr:sp macro="" textlink="">
      <xdr:nvSpPr>
        <xdr:cNvPr id="1070" name="Text Box 46" hidden="1">
          <a:extLst>
            <a:ext uri="{FF2B5EF4-FFF2-40B4-BE49-F238E27FC236}">
              <a16:creationId xmlns:a16="http://schemas.microsoft.com/office/drawing/2014/main" id="{5BB37DBB-8B0F-CC0D-0314-82D9405B265D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1123950</xdr:colOff>
      <xdr:row>24</xdr:row>
      <xdr:rowOff>104775</xdr:rowOff>
    </xdr:to>
    <xdr:sp macro="" textlink="">
      <xdr:nvSpPr>
        <xdr:cNvPr id="2" name="AutoShape 46">
          <a:extLst>
            <a:ext uri="{FF2B5EF4-FFF2-40B4-BE49-F238E27FC236}">
              <a16:creationId xmlns:a16="http://schemas.microsoft.com/office/drawing/2014/main" id="{89E330C5-CF57-BF8D-4F57-CA8B0D2E996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1123950</xdr:colOff>
      <xdr:row>24</xdr:row>
      <xdr:rowOff>104775</xdr:rowOff>
    </xdr:to>
    <xdr:sp macro="" textlink="">
      <xdr:nvSpPr>
        <xdr:cNvPr id="3" name="AutoShape 46">
          <a:extLst>
            <a:ext uri="{FF2B5EF4-FFF2-40B4-BE49-F238E27FC236}">
              <a16:creationId xmlns:a16="http://schemas.microsoft.com/office/drawing/2014/main" id="{B10ADD8F-A4D8-2296-5D88-24470349C16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1123950</xdr:colOff>
      <xdr:row>24</xdr:row>
      <xdr:rowOff>104775</xdr:rowOff>
    </xdr:to>
    <xdr:sp macro="" textlink="">
      <xdr:nvSpPr>
        <xdr:cNvPr id="4" name="AutoShape 46">
          <a:extLst>
            <a:ext uri="{FF2B5EF4-FFF2-40B4-BE49-F238E27FC236}">
              <a16:creationId xmlns:a16="http://schemas.microsoft.com/office/drawing/2014/main" id="{31E3D0A9-06CD-5364-9899-B88D0CF6E54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1123950</xdr:colOff>
      <xdr:row>24</xdr:row>
      <xdr:rowOff>104775</xdr:rowOff>
    </xdr:to>
    <xdr:sp macro="" textlink="">
      <xdr:nvSpPr>
        <xdr:cNvPr id="5" name="AutoShape 46">
          <a:extLst>
            <a:ext uri="{FF2B5EF4-FFF2-40B4-BE49-F238E27FC236}">
              <a16:creationId xmlns:a16="http://schemas.microsoft.com/office/drawing/2014/main" id="{75F28C49-91BE-C15D-6BEF-B61ABFEE14C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1123950</xdr:colOff>
      <xdr:row>24</xdr:row>
      <xdr:rowOff>104775</xdr:rowOff>
    </xdr:to>
    <xdr:sp macro="" textlink="">
      <xdr:nvSpPr>
        <xdr:cNvPr id="6" name="AutoShape 46">
          <a:extLst>
            <a:ext uri="{FF2B5EF4-FFF2-40B4-BE49-F238E27FC236}">
              <a16:creationId xmlns:a16="http://schemas.microsoft.com/office/drawing/2014/main" id="{34A82550-1D6C-3C66-B3AB-605710C4099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47D92"/>
  </sheetPr>
  <dimension ref="A1:D31"/>
  <sheetViews>
    <sheetView showGridLines="0" tabSelected="1" workbookViewId="0">
      <pane xSplit="1" ySplit="5" topLeftCell="B6" activePane="bottomRight" state="frozen"/>
      <selection pane="topRight"/>
      <selection pane="bottomLeft"/>
      <selection pane="bottomRight" activeCell="B6" sqref="B6"/>
    </sheetView>
  </sheetViews>
  <sheetFormatPr defaultRowHeight="15"/>
  <cols>
    <col min="1" max="1" width="14" customWidth="1"/>
    <col min="2" max="2" width="26" customWidth="1"/>
    <col min="3" max="3" width="98" customWidth="1"/>
    <col min="4" max="4" width="32" customWidth="1"/>
  </cols>
  <sheetData>
    <row r="1" spans="1:4" ht="42" customHeight="1">
      <c r="A1" s="27" t="s">
        <v>0</v>
      </c>
      <c r="B1" s="26"/>
      <c r="C1" s="26"/>
      <c r="D1" s="26"/>
    </row>
    <row r="2" spans="1:4" ht="42" customHeight="1">
      <c r="A2" s="29" t="s">
        <v>1</v>
      </c>
      <c r="B2" s="26"/>
      <c r="C2" s="26"/>
      <c r="D2" s="26"/>
    </row>
    <row r="3" spans="1:4" ht="15.75">
      <c r="A3" s="28" t="s">
        <v>2</v>
      </c>
      <c r="B3" s="26"/>
      <c r="C3" s="26"/>
      <c r="D3" s="26"/>
    </row>
    <row r="5" spans="1:4" ht="27.95" customHeight="1">
      <c r="A5" s="1" t="s">
        <v>3</v>
      </c>
      <c r="B5" s="1" t="s">
        <v>4</v>
      </c>
      <c r="C5" s="1" t="s">
        <v>5</v>
      </c>
      <c r="D5" s="1" t="s">
        <v>6</v>
      </c>
    </row>
    <row r="6" spans="1:4" ht="32.1" customHeight="1">
      <c r="A6" s="2" t="s">
        <v>7</v>
      </c>
      <c r="B6" s="3" t="s">
        <v>8</v>
      </c>
      <c r="C6" s="3" t="s">
        <v>9</v>
      </c>
      <c r="D6" s="3" t="s">
        <v>10</v>
      </c>
    </row>
    <row r="7" spans="1:4" ht="39.950000000000003" customHeight="1">
      <c r="A7" s="4" t="s">
        <v>11</v>
      </c>
      <c r="B7" s="5" t="s">
        <v>12</v>
      </c>
      <c r="C7" s="5" t="s">
        <v>13</v>
      </c>
      <c r="D7" s="5" t="s">
        <v>14</v>
      </c>
    </row>
    <row r="8" spans="1:4" ht="32.1" customHeight="1">
      <c r="A8" s="2" t="s">
        <v>15</v>
      </c>
      <c r="B8" s="3" t="s">
        <v>16</v>
      </c>
      <c r="C8" s="3" t="s">
        <v>17</v>
      </c>
      <c r="D8" s="3" t="s">
        <v>18</v>
      </c>
    </row>
    <row r="9" spans="1:4" ht="32.1" customHeight="1">
      <c r="A9" s="4" t="s">
        <v>19</v>
      </c>
      <c r="B9" s="5" t="s">
        <v>20</v>
      </c>
      <c r="C9" s="5" t="s">
        <v>21</v>
      </c>
      <c r="D9" s="5" t="s">
        <v>22</v>
      </c>
    </row>
    <row r="10" spans="1:4" ht="32.1" customHeight="1">
      <c r="A10" s="2" t="s">
        <v>23</v>
      </c>
      <c r="B10" s="3" t="s">
        <v>24</v>
      </c>
      <c r="C10" s="3" t="s">
        <v>25</v>
      </c>
      <c r="D10" s="3" t="s">
        <v>26</v>
      </c>
    </row>
    <row r="11" spans="1:4" ht="39.950000000000003" customHeight="1">
      <c r="A11" s="4" t="s">
        <v>27</v>
      </c>
      <c r="B11" s="5" t="s">
        <v>28</v>
      </c>
      <c r="C11" s="5" t="s">
        <v>29</v>
      </c>
      <c r="D11" s="5" t="s">
        <v>30</v>
      </c>
    </row>
    <row r="12" spans="1:4" ht="32.1" customHeight="1">
      <c r="A12" s="2" t="s">
        <v>31</v>
      </c>
      <c r="B12" s="3" t="s">
        <v>32</v>
      </c>
      <c r="C12" s="3" t="s">
        <v>33</v>
      </c>
      <c r="D12" s="3" t="s">
        <v>10</v>
      </c>
    </row>
    <row r="13" spans="1:4" ht="39.950000000000003" customHeight="1">
      <c r="A13" s="4" t="s">
        <v>34</v>
      </c>
      <c r="B13" s="5" t="s">
        <v>35</v>
      </c>
      <c r="C13" s="5" t="s">
        <v>36</v>
      </c>
      <c r="D13" s="5" t="s">
        <v>37</v>
      </c>
    </row>
    <row r="14" spans="1:4" ht="32.1" customHeight="1">
      <c r="A14" s="2" t="s">
        <v>38</v>
      </c>
      <c r="B14" s="3" t="s">
        <v>39</v>
      </c>
      <c r="C14" s="3" t="s">
        <v>40</v>
      </c>
      <c r="D14" s="3" t="s">
        <v>41</v>
      </c>
    </row>
    <row r="15" spans="1:4" ht="32.1" customHeight="1">
      <c r="A15" s="4" t="s">
        <v>42</v>
      </c>
      <c r="B15" s="5" t="s">
        <v>43</v>
      </c>
      <c r="C15" s="5" t="s">
        <v>44</v>
      </c>
      <c r="D15" s="5" t="s">
        <v>45</v>
      </c>
    </row>
    <row r="16" spans="1:4" ht="32.1" customHeight="1">
      <c r="A16" s="2" t="s">
        <v>46</v>
      </c>
      <c r="B16" s="3" t="s">
        <v>47</v>
      </c>
      <c r="C16" s="3" t="s">
        <v>48</v>
      </c>
      <c r="D16" s="3" t="s">
        <v>49</v>
      </c>
    </row>
    <row r="17" spans="1:4" ht="39.950000000000003" customHeight="1">
      <c r="A17" s="4" t="s">
        <v>50</v>
      </c>
      <c r="B17" s="5" t="s">
        <v>51</v>
      </c>
      <c r="C17" s="5" t="s">
        <v>52</v>
      </c>
      <c r="D17" s="5" t="s">
        <v>53</v>
      </c>
    </row>
    <row r="20" spans="1:4" ht="24" customHeight="1">
      <c r="A20" s="6" t="s">
        <v>54</v>
      </c>
      <c r="B20" s="25" t="s">
        <v>55</v>
      </c>
      <c r="C20" s="26"/>
      <c r="D20" t="s">
        <v>56</v>
      </c>
    </row>
    <row r="21" spans="1:4" ht="24" customHeight="1">
      <c r="A21" s="6" t="s">
        <v>57</v>
      </c>
      <c r="B21" s="25" t="s">
        <v>58</v>
      </c>
      <c r="C21" s="26"/>
      <c r="D21" t="s">
        <v>59</v>
      </c>
    </row>
    <row r="22" spans="1:4" ht="24" customHeight="1">
      <c r="A22" s="6" t="s">
        <v>60</v>
      </c>
      <c r="B22" s="25" t="s">
        <v>61</v>
      </c>
      <c r="C22" s="26"/>
      <c r="D22" t="s">
        <v>62</v>
      </c>
    </row>
    <row r="23" spans="1:4" ht="24" customHeight="1">
      <c r="A23" s="6" t="s">
        <v>63</v>
      </c>
      <c r="B23" s="25" t="s">
        <v>64</v>
      </c>
      <c r="C23" s="26"/>
      <c r="D23" t="s">
        <v>65</v>
      </c>
    </row>
    <row r="24" spans="1:4" ht="24" customHeight="1">
      <c r="A24" s="6" t="s">
        <v>66</v>
      </c>
      <c r="B24" s="25" t="s">
        <v>67</v>
      </c>
      <c r="C24" s="26"/>
      <c r="D24" t="s">
        <v>65</v>
      </c>
    </row>
    <row r="25" spans="1:4" ht="24" customHeight="1">
      <c r="A25" s="6" t="s">
        <v>68</v>
      </c>
      <c r="B25" s="25" t="s">
        <v>69</v>
      </c>
      <c r="C25" s="26"/>
      <c r="D25" t="s">
        <v>65</v>
      </c>
    </row>
    <row r="26" spans="1:4" ht="24" customHeight="1">
      <c r="A26" s="6" t="s">
        <v>70</v>
      </c>
      <c r="B26" s="25" t="s">
        <v>71</v>
      </c>
      <c r="C26" s="26"/>
      <c r="D26" t="s">
        <v>65</v>
      </c>
    </row>
    <row r="27" spans="1:4" ht="24" customHeight="1">
      <c r="A27" s="6" t="s">
        <v>72</v>
      </c>
      <c r="B27" s="25" t="s">
        <v>73</v>
      </c>
      <c r="C27" s="26"/>
      <c r="D27" t="s">
        <v>74</v>
      </c>
    </row>
    <row r="28" spans="1:4" ht="24" customHeight="1">
      <c r="A28" s="6" t="s">
        <v>75</v>
      </c>
      <c r="B28" s="25" t="s">
        <v>76</v>
      </c>
      <c r="C28" s="26"/>
      <c r="D28" t="s">
        <v>77</v>
      </c>
    </row>
    <row r="29" spans="1:4" ht="24" customHeight="1">
      <c r="A29" s="6" t="s">
        <v>78</v>
      </c>
      <c r="B29" s="25" t="s">
        <v>79</v>
      </c>
      <c r="C29" s="26"/>
      <c r="D29" t="s">
        <v>80</v>
      </c>
    </row>
    <row r="30" spans="1:4" ht="24" customHeight="1">
      <c r="A30" s="6" t="s">
        <v>81</v>
      </c>
      <c r="B30" s="25" t="s">
        <v>82</v>
      </c>
      <c r="C30" s="26"/>
      <c r="D30" t="s">
        <v>83</v>
      </c>
    </row>
    <row r="31" spans="1:4" ht="24" customHeight="1">
      <c r="A31" s="6" t="s">
        <v>84</v>
      </c>
      <c r="B31" s="25" t="s">
        <v>85</v>
      </c>
      <c r="C31" s="26"/>
      <c r="D31" t="s">
        <v>65</v>
      </c>
    </row>
  </sheetData>
  <autoFilter ref="A5:D17" xr:uid="{00000000-0001-0000-0000-000000000000}"/>
  <mergeCells count="15">
    <mergeCell ref="B31:C31"/>
    <mergeCell ref="A1:D1"/>
    <mergeCell ref="B21:C21"/>
    <mergeCell ref="B24:C24"/>
    <mergeCell ref="B30:C30"/>
    <mergeCell ref="B29:C29"/>
    <mergeCell ref="B25:C25"/>
    <mergeCell ref="B20:C20"/>
    <mergeCell ref="A3:D3"/>
    <mergeCell ref="B28:C28"/>
    <mergeCell ref="B23:C23"/>
    <mergeCell ref="B22:C22"/>
    <mergeCell ref="A2:D2"/>
    <mergeCell ref="B26:C26"/>
    <mergeCell ref="B27:C27"/>
  </mergeCells>
  <phoneticPr fontId="15" type="noConversion"/>
  <hyperlinks>
    <hyperlink ref="A20" location="'01_规则台账'!A1" display="01_规则台账" xr:uid="{00000000-0004-0000-0000-000000000000}"/>
    <hyperlink ref="A21" location="'02_乐趣与范围'!A1" display="02_乐趣与范围" xr:uid="{00000000-0004-0000-0000-000001000000}"/>
    <hyperlink ref="A22" location="'03_单人流程'!A1" display="03_单人流程" xr:uid="{00000000-0004-0000-0000-000002000000}"/>
    <hyperlink ref="A23" location="'04_角色操控'!A1" display="04_角色操控" xr:uid="{00000000-0004-0000-0000-000003000000}"/>
    <hyperlink ref="A24" location="'05_Boss规格'!A1" display="05_Boss规格" xr:uid="{00000000-0004-0000-0000-000004000000}"/>
    <hyperlink ref="A25" location="'06_外围支援提案'!A1" display="06_外围支援提案" xr:uid="{00000000-0004-0000-0000-000005000000}"/>
    <hyperlink ref="A26" location="'07_物品与箱子'!A1" display="07_物品与箱子" xr:uid="{00000000-0004-0000-0000-000006000000}"/>
    <hyperlink ref="A27" location="'08_开发任务'!A1" display="08_开发任务" xr:uid="{00000000-0004-0000-0000-000007000000}"/>
    <hyperlink ref="A28" location="'09_验收用例'!A1" display="09_验收用例" xr:uid="{00000000-0004-0000-0000-000008000000}"/>
    <hyperlink ref="A29" location="'10_试玩记录'!A1" display="10_试玩记录" xr:uid="{00000000-0004-0000-0000-000009000000}"/>
    <hyperlink ref="A30" location="'11_参数与进度'!A1" display="11_参数与进度" xr:uid="{00000000-0004-0000-0000-00000A000000}"/>
    <hyperlink ref="A31" location="'12_决策与变更'!A1" display="12_决策与变更" xr:uid="{00000000-0004-0000-0000-00000B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47D92"/>
  </sheetPr>
  <dimension ref="A1:F33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B6" sqref="B6"/>
    </sheetView>
  </sheetViews>
  <sheetFormatPr defaultRowHeight="15"/>
  <cols>
    <col min="1" max="1" width="12" customWidth="1"/>
    <col min="2" max="2" width="22" customWidth="1"/>
    <col min="3" max="3" width="62" customWidth="1"/>
    <col min="4" max="4" width="31" customWidth="1"/>
    <col min="5" max="5" width="62" customWidth="1"/>
    <col min="6" max="6" width="31" customWidth="1"/>
  </cols>
  <sheetData>
    <row r="1" spans="1:6" ht="42" customHeight="1">
      <c r="A1" s="27" t="s">
        <v>55</v>
      </c>
      <c r="B1" s="26"/>
      <c r="C1" s="26"/>
      <c r="D1" s="26"/>
      <c r="E1" s="26"/>
      <c r="F1" s="26"/>
    </row>
    <row r="2" spans="1:6" ht="42" customHeight="1">
      <c r="A2" s="29" t="s">
        <v>86</v>
      </c>
      <c r="B2" s="26"/>
      <c r="C2" s="26"/>
      <c r="D2" s="26"/>
      <c r="E2" s="26"/>
      <c r="F2" s="26"/>
    </row>
    <row r="3" spans="1:6" ht="15.75">
      <c r="A3" s="28" t="s">
        <v>2</v>
      </c>
      <c r="B3" s="26"/>
      <c r="C3" s="26"/>
      <c r="D3" s="26"/>
      <c r="E3" s="26"/>
      <c r="F3" s="26"/>
    </row>
    <row r="4" spans="1:6" ht="15.75">
      <c r="A4" s="7" t="s">
        <v>87</v>
      </c>
    </row>
    <row r="5" spans="1:6" ht="27.95" customHeight="1">
      <c r="A5" s="1" t="s">
        <v>88</v>
      </c>
      <c r="B5" s="1" t="s">
        <v>89</v>
      </c>
      <c r="C5" s="1" t="s">
        <v>90</v>
      </c>
      <c r="D5" s="1" t="s">
        <v>91</v>
      </c>
      <c r="E5" s="1" t="s">
        <v>92</v>
      </c>
      <c r="F5" s="1" t="s">
        <v>93</v>
      </c>
    </row>
    <row r="6" spans="1:6" ht="32.1" customHeight="1">
      <c r="A6" s="2" t="s">
        <v>94</v>
      </c>
      <c r="B6" s="3" t="s">
        <v>95</v>
      </c>
      <c r="C6" s="3" t="s">
        <v>96</v>
      </c>
      <c r="D6" s="3" t="s">
        <v>10</v>
      </c>
      <c r="E6" s="3" t="s">
        <v>97</v>
      </c>
      <c r="F6" s="3" t="s">
        <v>98</v>
      </c>
    </row>
    <row r="7" spans="1:6" ht="32.1" customHeight="1">
      <c r="A7" s="4" t="s">
        <v>99</v>
      </c>
      <c r="B7" s="5" t="s">
        <v>100</v>
      </c>
      <c r="C7" s="5" t="s">
        <v>101</v>
      </c>
      <c r="D7" s="5" t="s">
        <v>14</v>
      </c>
      <c r="E7" s="5" t="s">
        <v>102</v>
      </c>
      <c r="F7" s="5" t="s">
        <v>98</v>
      </c>
    </row>
    <row r="8" spans="1:6" ht="32.1" customHeight="1">
      <c r="A8" s="2" t="s">
        <v>103</v>
      </c>
      <c r="B8" s="3" t="s">
        <v>104</v>
      </c>
      <c r="C8" s="3" t="s">
        <v>105</v>
      </c>
      <c r="D8" s="3" t="s">
        <v>10</v>
      </c>
      <c r="E8" s="3" t="s">
        <v>106</v>
      </c>
      <c r="F8" s="3" t="s">
        <v>98</v>
      </c>
    </row>
    <row r="9" spans="1:6" ht="32.1" customHeight="1">
      <c r="A9" s="4" t="s">
        <v>107</v>
      </c>
      <c r="B9" s="5" t="s">
        <v>108</v>
      </c>
      <c r="C9" s="5" t="s">
        <v>109</v>
      </c>
      <c r="D9" s="5" t="s">
        <v>10</v>
      </c>
      <c r="E9" s="5" t="s">
        <v>110</v>
      </c>
      <c r="F9" s="5" t="s">
        <v>98</v>
      </c>
    </row>
    <row r="10" spans="1:6" ht="32.1" customHeight="1">
      <c r="A10" s="2" t="s">
        <v>111</v>
      </c>
      <c r="B10" s="3" t="s">
        <v>112</v>
      </c>
      <c r="C10" s="3" t="s">
        <v>113</v>
      </c>
      <c r="D10" s="3" t="s">
        <v>10</v>
      </c>
      <c r="E10" s="3" t="s">
        <v>114</v>
      </c>
      <c r="F10" s="3" t="s">
        <v>115</v>
      </c>
    </row>
    <row r="11" spans="1:6" ht="32.1" customHeight="1">
      <c r="A11" s="4" t="s">
        <v>116</v>
      </c>
      <c r="B11" s="5" t="s">
        <v>117</v>
      </c>
      <c r="C11" s="5" t="s">
        <v>118</v>
      </c>
      <c r="D11" s="5" t="s">
        <v>10</v>
      </c>
      <c r="E11" s="5" t="s">
        <v>119</v>
      </c>
      <c r="F11" s="5" t="s">
        <v>115</v>
      </c>
    </row>
    <row r="12" spans="1:6" ht="32.1" customHeight="1">
      <c r="A12" s="2" t="s">
        <v>120</v>
      </c>
      <c r="B12" s="3" t="s">
        <v>121</v>
      </c>
      <c r="C12" s="3" t="s">
        <v>122</v>
      </c>
      <c r="D12" s="3" t="s">
        <v>10</v>
      </c>
      <c r="E12" s="3" t="s">
        <v>123</v>
      </c>
      <c r="F12" s="3" t="s">
        <v>124</v>
      </c>
    </row>
    <row r="13" spans="1:6" ht="32.1" customHeight="1">
      <c r="A13" s="4" t="s">
        <v>125</v>
      </c>
      <c r="B13" s="5" t="s">
        <v>126</v>
      </c>
      <c r="C13" s="5" t="s">
        <v>127</v>
      </c>
      <c r="D13" s="5" t="s">
        <v>10</v>
      </c>
      <c r="E13" s="5" t="s">
        <v>128</v>
      </c>
      <c r="F13" s="5" t="s">
        <v>124</v>
      </c>
    </row>
    <row r="14" spans="1:6" ht="32.1" customHeight="1">
      <c r="A14" s="2" t="s">
        <v>129</v>
      </c>
      <c r="B14" s="3" t="s">
        <v>130</v>
      </c>
      <c r="C14" s="3" t="s">
        <v>131</v>
      </c>
      <c r="D14" s="3" t="s">
        <v>10</v>
      </c>
      <c r="E14" s="3" t="s">
        <v>132</v>
      </c>
      <c r="F14" s="3" t="s">
        <v>124</v>
      </c>
    </row>
    <row r="15" spans="1:6" ht="39.950000000000003" customHeight="1">
      <c r="A15" s="4" t="s">
        <v>133</v>
      </c>
      <c r="B15" s="5" t="s">
        <v>134</v>
      </c>
      <c r="C15" s="5" t="s">
        <v>135</v>
      </c>
      <c r="D15" s="5" t="s">
        <v>10</v>
      </c>
      <c r="E15" s="5" t="s">
        <v>136</v>
      </c>
      <c r="F15" s="5" t="s">
        <v>124</v>
      </c>
    </row>
    <row r="16" spans="1:6" ht="32.1" customHeight="1">
      <c r="A16" s="2" t="s">
        <v>137</v>
      </c>
      <c r="B16" s="3" t="s">
        <v>138</v>
      </c>
      <c r="C16" s="3" t="s">
        <v>139</v>
      </c>
      <c r="D16" s="3" t="s">
        <v>10</v>
      </c>
      <c r="E16" s="3" t="s">
        <v>140</v>
      </c>
      <c r="F16" s="3" t="s">
        <v>124</v>
      </c>
    </row>
    <row r="17" spans="1:6" ht="32.1" customHeight="1">
      <c r="A17" s="4" t="s">
        <v>141</v>
      </c>
      <c r="B17" s="5" t="s">
        <v>142</v>
      </c>
      <c r="C17" s="5" t="s">
        <v>143</v>
      </c>
      <c r="D17" s="5" t="s">
        <v>10</v>
      </c>
      <c r="E17" s="5" t="s">
        <v>144</v>
      </c>
      <c r="F17" s="5" t="s">
        <v>124</v>
      </c>
    </row>
    <row r="18" spans="1:6" ht="32.1" customHeight="1">
      <c r="A18" s="2" t="s">
        <v>145</v>
      </c>
      <c r="B18" s="3" t="s">
        <v>146</v>
      </c>
      <c r="C18" s="3" t="s">
        <v>147</v>
      </c>
      <c r="D18" s="3" t="s">
        <v>10</v>
      </c>
      <c r="E18" s="3" t="s">
        <v>148</v>
      </c>
      <c r="F18" s="3" t="s">
        <v>124</v>
      </c>
    </row>
    <row r="19" spans="1:6" ht="32.1" customHeight="1">
      <c r="A19" s="4" t="s">
        <v>149</v>
      </c>
      <c r="B19" s="5" t="s">
        <v>150</v>
      </c>
      <c r="C19" s="5" t="s">
        <v>151</v>
      </c>
      <c r="D19" s="5" t="s">
        <v>10</v>
      </c>
      <c r="E19" s="5" t="s">
        <v>152</v>
      </c>
      <c r="F19" s="5" t="s">
        <v>115</v>
      </c>
    </row>
    <row r="20" spans="1:6" ht="32.1" customHeight="1">
      <c r="A20" s="2" t="s">
        <v>153</v>
      </c>
      <c r="B20" s="3" t="s">
        <v>154</v>
      </c>
      <c r="C20" s="3" t="s">
        <v>155</v>
      </c>
      <c r="D20" s="3" t="s">
        <v>156</v>
      </c>
      <c r="E20" s="3" t="s">
        <v>157</v>
      </c>
      <c r="F20" s="3" t="s">
        <v>158</v>
      </c>
    </row>
    <row r="21" spans="1:6" ht="32.1" customHeight="1">
      <c r="A21" s="4" t="s">
        <v>159</v>
      </c>
      <c r="B21" s="5" t="s">
        <v>160</v>
      </c>
      <c r="C21" s="5" t="s">
        <v>161</v>
      </c>
      <c r="D21" s="5" t="s">
        <v>156</v>
      </c>
      <c r="E21" s="5" t="s">
        <v>162</v>
      </c>
      <c r="F21" s="5" t="s">
        <v>158</v>
      </c>
    </row>
    <row r="22" spans="1:6" ht="32.1" customHeight="1">
      <c r="A22" s="2" t="s">
        <v>163</v>
      </c>
      <c r="B22" s="3" t="s">
        <v>164</v>
      </c>
      <c r="C22" s="3" t="s">
        <v>165</v>
      </c>
      <c r="D22" s="3" t="s">
        <v>10</v>
      </c>
      <c r="E22" s="3" t="s">
        <v>166</v>
      </c>
      <c r="F22" s="3" t="s">
        <v>115</v>
      </c>
    </row>
    <row r="23" spans="1:6" ht="32.1" customHeight="1">
      <c r="A23" s="4" t="s">
        <v>167</v>
      </c>
      <c r="B23" s="5" t="s">
        <v>168</v>
      </c>
      <c r="C23" s="5" t="s">
        <v>169</v>
      </c>
      <c r="D23" s="5" t="s">
        <v>170</v>
      </c>
      <c r="E23" s="5" t="s">
        <v>171</v>
      </c>
      <c r="F23" s="5" t="s">
        <v>115</v>
      </c>
    </row>
    <row r="24" spans="1:6" ht="32.1" customHeight="1">
      <c r="A24" s="2" t="s">
        <v>172</v>
      </c>
      <c r="B24" s="3" t="s">
        <v>173</v>
      </c>
      <c r="C24" s="3" t="s">
        <v>174</v>
      </c>
      <c r="D24" s="3" t="s">
        <v>175</v>
      </c>
      <c r="E24" s="3" t="s">
        <v>176</v>
      </c>
      <c r="F24" s="3" t="s">
        <v>177</v>
      </c>
    </row>
    <row r="25" spans="1:6" ht="32.1" customHeight="1">
      <c r="A25" s="4" t="s">
        <v>178</v>
      </c>
      <c r="B25" s="5" t="s">
        <v>179</v>
      </c>
      <c r="C25" s="5" t="s">
        <v>180</v>
      </c>
      <c r="D25" s="5" t="s">
        <v>10</v>
      </c>
      <c r="E25" s="5" t="s">
        <v>181</v>
      </c>
      <c r="F25" s="5" t="s">
        <v>124</v>
      </c>
    </row>
    <row r="26" spans="1:6" ht="32.1" customHeight="1">
      <c r="A26" s="2" t="s">
        <v>182</v>
      </c>
      <c r="B26" s="3" t="s">
        <v>183</v>
      </c>
      <c r="C26" s="3" t="s">
        <v>184</v>
      </c>
      <c r="D26" s="3" t="s">
        <v>10</v>
      </c>
      <c r="E26" s="3" t="s">
        <v>185</v>
      </c>
      <c r="F26" s="3" t="s">
        <v>124</v>
      </c>
    </row>
    <row r="27" spans="1:6" ht="32.1" customHeight="1">
      <c r="A27" s="4" t="s">
        <v>186</v>
      </c>
      <c r="B27" s="5" t="s">
        <v>187</v>
      </c>
      <c r="C27" s="5" t="s">
        <v>188</v>
      </c>
      <c r="D27" s="5" t="s">
        <v>10</v>
      </c>
      <c r="E27" s="5" t="s">
        <v>189</v>
      </c>
      <c r="F27" s="5" t="s">
        <v>124</v>
      </c>
    </row>
    <row r="28" spans="1:6" ht="32.1" customHeight="1">
      <c r="A28" s="2" t="s">
        <v>190</v>
      </c>
      <c r="B28" s="3" t="s">
        <v>191</v>
      </c>
      <c r="C28" s="3" t="s">
        <v>192</v>
      </c>
      <c r="D28" s="3" t="s">
        <v>10</v>
      </c>
      <c r="E28" s="3" t="s">
        <v>193</v>
      </c>
      <c r="F28" s="3" t="s">
        <v>124</v>
      </c>
    </row>
    <row r="29" spans="1:6" ht="32.1" customHeight="1">
      <c r="A29" s="4" t="s">
        <v>194</v>
      </c>
      <c r="B29" s="5" t="s">
        <v>195</v>
      </c>
      <c r="C29" s="5" t="s">
        <v>196</v>
      </c>
      <c r="D29" s="5" t="s">
        <v>197</v>
      </c>
      <c r="E29" s="5" t="s">
        <v>198</v>
      </c>
      <c r="F29" s="5" t="s">
        <v>124</v>
      </c>
    </row>
    <row r="30" spans="1:6" ht="32.1" customHeight="1">
      <c r="A30" s="2" t="s">
        <v>199</v>
      </c>
      <c r="B30" s="3" t="s">
        <v>200</v>
      </c>
      <c r="C30" s="3" t="s">
        <v>201</v>
      </c>
      <c r="D30" s="3" t="s">
        <v>10</v>
      </c>
      <c r="E30" s="3" t="s">
        <v>202</v>
      </c>
      <c r="F30" s="3" t="s">
        <v>158</v>
      </c>
    </row>
    <row r="31" spans="1:6" ht="32.1" customHeight="1">
      <c r="A31" s="4" t="s">
        <v>203</v>
      </c>
      <c r="B31" s="5" t="s">
        <v>204</v>
      </c>
      <c r="C31" s="5" t="s">
        <v>205</v>
      </c>
      <c r="D31" s="5" t="s">
        <v>206</v>
      </c>
      <c r="E31" s="5" t="s">
        <v>207</v>
      </c>
      <c r="F31" s="5" t="s">
        <v>208</v>
      </c>
    </row>
    <row r="32" spans="1:6" ht="32.1" customHeight="1">
      <c r="A32" s="2" t="s">
        <v>209</v>
      </c>
      <c r="B32" s="3" t="s">
        <v>210</v>
      </c>
      <c r="C32" s="3" t="s">
        <v>211</v>
      </c>
      <c r="D32" s="3" t="s">
        <v>212</v>
      </c>
      <c r="E32" s="3" t="s">
        <v>213</v>
      </c>
      <c r="F32" s="3" t="s">
        <v>214</v>
      </c>
    </row>
    <row r="33" spans="1:6" ht="32.1" customHeight="1">
      <c r="A33" s="4" t="s">
        <v>215</v>
      </c>
      <c r="B33" s="5" t="s">
        <v>216</v>
      </c>
      <c r="C33" s="5" t="s">
        <v>217</v>
      </c>
      <c r="D33" s="5" t="s">
        <v>197</v>
      </c>
      <c r="E33" s="5" t="s">
        <v>218</v>
      </c>
      <c r="F33" s="5" t="s">
        <v>219</v>
      </c>
    </row>
  </sheetData>
  <autoFilter ref="A5:F33" xr:uid="{00000000-0001-0000-0100-000000000000}"/>
  <mergeCells count="3">
    <mergeCell ref="A3:F3"/>
    <mergeCell ref="A2:F2"/>
    <mergeCell ref="A1:F1"/>
  </mergeCells>
  <phoneticPr fontId="15" type="noConversion"/>
  <hyperlinks>
    <hyperlink ref="A4" location="'00_阅读说明'!A1" display="返回目录" xr:uid="{00000000-0004-0000-0100-000000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47D92"/>
  </sheetPr>
  <dimension ref="A1:E20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B6" sqref="B6"/>
    </sheetView>
  </sheetViews>
  <sheetFormatPr defaultRowHeight="15"/>
  <cols>
    <col min="1" max="1" width="12" customWidth="1"/>
    <col min="2" max="2" width="33" customWidth="1"/>
    <col min="3" max="3" width="77" customWidth="1"/>
    <col min="4" max="4" width="30" customWidth="1"/>
    <col min="5" max="5" width="81" customWidth="1"/>
  </cols>
  <sheetData>
    <row r="1" spans="1:5" ht="42" customHeight="1">
      <c r="A1" s="27" t="s">
        <v>58</v>
      </c>
      <c r="B1" s="26"/>
      <c r="C1" s="26"/>
      <c r="D1" s="26"/>
      <c r="E1" s="26"/>
    </row>
    <row r="2" spans="1:5" ht="42" customHeight="1">
      <c r="A2" s="29" t="s">
        <v>220</v>
      </c>
      <c r="B2" s="26"/>
      <c r="C2" s="26"/>
      <c r="D2" s="26"/>
      <c r="E2" s="26"/>
    </row>
    <row r="3" spans="1:5" ht="15.75">
      <c r="A3" s="28" t="s">
        <v>2</v>
      </c>
      <c r="B3" s="26"/>
      <c r="C3" s="26"/>
      <c r="D3" s="26"/>
      <c r="E3" s="26"/>
    </row>
    <row r="4" spans="1:5" ht="15.75">
      <c r="A4" s="7" t="s">
        <v>87</v>
      </c>
    </row>
    <row r="5" spans="1:5" ht="27.95" customHeight="1">
      <c r="A5" s="1" t="s">
        <v>88</v>
      </c>
      <c r="B5" s="1" t="s">
        <v>221</v>
      </c>
      <c r="C5" s="1" t="s">
        <v>222</v>
      </c>
      <c r="D5" s="1" t="s">
        <v>223</v>
      </c>
      <c r="E5" s="1" t="s">
        <v>224</v>
      </c>
    </row>
    <row r="6" spans="1:5" ht="32.1" customHeight="1">
      <c r="A6" s="2" t="s">
        <v>225</v>
      </c>
      <c r="B6" s="3" t="s">
        <v>226</v>
      </c>
      <c r="C6" s="3" t="s">
        <v>227</v>
      </c>
      <c r="D6" s="3" t="s">
        <v>228</v>
      </c>
      <c r="E6" s="3" t="s">
        <v>229</v>
      </c>
    </row>
    <row r="7" spans="1:5" ht="32.1" customHeight="1">
      <c r="A7" s="4" t="s">
        <v>230</v>
      </c>
      <c r="B7" s="5" t="s">
        <v>231</v>
      </c>
      <c r="C7" s="5" t="s">
        <v>232</v>
      </c>
      <c r="D7" s="5" t="s">
        <v>228</v>
      </c>
      <c r="E7" s="5" t="s">
        <v>233</v>
      </c>
    </row>
    <row r="8" spans="1:5" ht="32.1" customHeight="1">
      <c r="A8" s="2" t="s">
        <v>234</v>
      </c>
      <c r="B8" s="3" t="s">
        <v>235</v>
      </c>
      <c r="C8" s="3" t="s">
        <v>236</v>
      </c>
      <c r="D8" s="3" t="s">
        <v>237</v>
      </c>
      <c r="E8" s="3" t="s">
        <v>238</v>
      </c>
    </row>
    <row r="9" spans="1:5" ht="32.1" customHeight="1">
      <c r="A9" s="4" t="s">
        <v>239</v>
      </c>
      <c r="B9" s="5" t="s">
        <v>240</v>
      </c>
      <c r="C9" s="5" t="s">
        <v>241</v>
      </c>
      <c r="D9" s="5" t="s">
        <v>242</v>
      </c>
      <c r="E9" s="5" t="s">
        <v>243</v>
      </c>
    </row>
    <row r="10" spans="1:5" ht="32.1" customHeight="1">
      <c r="A10" s="2" t="s">
        <v>244</v>
      </c>
      <c r="B10" s="3" t="s">
        <v>245</v>
      </c>
      <c r="C10" s="3" t="s">
        <v>246</v>
      </c>
      <c r="D10" s="3" t="s">
        <v>247</v>
      </c>
      <c r="E10" s="3" t="s">
        <v>248</v>
      </c>
    </row>
    <row r="11" spans="1:5" ht="32.1" customHeight="1">
      <c r="A11" s="4" t="s">
        <v>249</v>
      </c>
      <c r="B11" s="5" t="s">
        <v>250</v>
      </c>
      <c r="C11" s="5" t="s">
        <v>251</v>
      </c>
      <c r="D11" s="5" t="s">
        <v>252</v>
      </c>
      <c r="E11" s="5" t="s">
        <v>253</v>
      </c>
    </row>
    <row r="12" spans="1:5" ht="32.1" customHeight="1">
      <c r="A12" s="2" t="s">
        <v>254</v>
      </c>
      <c r="B12" s="3" t="s">
        <v>255</v>
      </c>
      <c r="C12" s="3" t="s">
        <v>256</v>
      </c>
      <c r="D12" s="3" t="s">
        <v>257</v>
      </c>
      <c r="E12" s="3" t="s">
        <v>258</v>
      </c>
    </row>
    <row r="13" spans="1:5" ht="32.1" customHeight="1">
      <c r="A13" s="4" t="s">
        <v>259</v>
      </c>
      <c r="B13" s="5" t="s">
        <v>260</v>
      </c>
      <c r="C13" s="5" t="s">
        <v>261</v>
      </c>
      <c r="D13" s="5" t="s">
        <v>262</v>
      </c>
      <c r="E13" s="5" t="s">
        <v>263</v>
      </c>
    </row>
    <row r="14" spans="1:5" ht="32.1" customHeight="1">
      <c r="A14" s="2" t="s">
        <v>264</v>
      </c>
      <c r="B14" s="3" t="s">
        <v>265</v>
      </c>
      <c r="C14" s="3" t="s">
        <v>266</v>
      </c>
      <c r="D14" s="3" t="s">
        <v>267</v>
      </c>
      <c r="E14" s="3" t="s">
        <v>268</v>
      </c>
    </row>
    <row r="15" spans="1:5" ht="32.1" customHeight="1">
      <c r="A15" s="4" t="s">
        <v>269</v>
      </c>
      <c r="B15" s="5" t="s">
        <v>270</v>
      </c>
      <c r="C15" s="5" t="s">
        <v>271</v>
      </c>
      <c r="D15" s="5" t="s">
        <v>272</v>
      </c>
      <c r="E15" s="5" t="s">
        <v>273</v>
      </c>
    </row>
    <row r="16" spans="1:5" ht="32.1" customHeight="1">
      <c r="A16" s="2" t="s">
        <v>274</v>
      </c>
      <c r="B16" s="3" t="s">
        <v>275</v>
      </c>
      <c r="C16" s="3" t="s">
        <v>276</v>
      </c>
      <c r="D16" s="3" t="s">
        <v>272</v>
      </c>
      <c r="E16" s="3" t="s">
        <v>277</v>
      </c>
    </row>
    <row r="17" spans="1:5" ht="32.1" customHeight="1">
      <c r="A17" s="4" t="s">
        <v>278</v>
      </c>
      <c r="B17" s="5" t="s">
        <v>279</v>
      </c>
      <c r="C17" s="5" t="s">
        <v>280</v>
      </c>
      <c r="D17" s="5" t="s">
        <v>281</v>
      </c>
      <c r="E17" s="5" t="s">
        <v>282</v>
      </c>
    </row>
    <row r="18" spans="1:5" ht="32.1" customHeight="1">
      <c r="A18" s="2" t="s">
        <v>283</v>
      </c>
      <c r="B18" s="3" t="s">
        <v>284</v>
      </c>
      <c r="C18" s="3" t="s">
        <v>285</v>
      </c>
      <c r="D18" s="3" t="s">
        <v>286</v>
      </c>
      <c r="E18" s="3" t="s">
        <v>287</v>
      </c>
    </row>
    <row r="19" spans="1:5" ht="32.1" customHeight="1">
      <c r="A19" s="4" t="s">
        <v>288</v>
      </c>
      <c r="B19" s="5" t="s">
        <v>289</v>
      </c>
      <c r="C19" s="5" t="s">
        <v>290</v>
      </c>
      <c r="D19" s="5" t="s">
        <v>291</v>
      </c>
      <c r="E19" s="5" t="s">
        <v>292</v>
      </c>
    </row>
    <row r="20" spans="1:5" ht="32.1" customHeight="1">
      <c r="A20" s="2" t="s">
        <v>293</v>
      </c>
      <c r="B20" s="3" t="s">
        <v>294</v>
      </c>
      <c r="C20" s="3" t="s">
        <v>295</v>
      </c>
      <c r="D20" s="3" t="s">
        <v>296</v>
      </c>
      <c r="E20" s="3" t="s">
        <v>297</v>
      </c>
    </row>
  </sheetData>
  <autoFilter ref="A5:E20" xr:uid="{00000000-0001-0000-0200-000000000000}"/>
  <mergeCells count="3">
    <mergeCell ref="A2:E2"/>
    <mergeCell ref="A1:E1"/>
    <mergeCell ref="A3:E3"/>
  </mergeCells>
  <phoneticPr fontId="15" type="noConversion"/>
  <hyperlinks>
    <hyperlink ref="A4" location="'00_阅读说明'!A1" display="返回目录" xr:uid="{00000000-0004-0000-0200-000000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47D92"/>
  </sheetPr>
  <dimension ref="A1:E17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B6" sqref="B6"/>
    </sheetView>
  </sheetViews>
  <sheetFormatPr defaultRowHeight="15"/>
  <cols>
    <col min="1" max="1" width="22" customWidth="1"/>
    <col min="2" max="2" width="39" customWidth="1"/>
    <col min="3" max="3" width="66" customWidth="1"/>
    <col min="4" max="4" width="82" customWidth="1"/>
    <col min="5" max="5" width="64" customWidth="1"/>
  </cols>
  <sheetData>
    <row r="1" spans="1:5" ht="42" customHeight="1">
      <c r="A1" s="27" t="s">
        <v>61</v>
      </c>
      <c r="B1" s="26"/>
      <c r="C1" s="26"/>
      <c r="D1" s="26"/>
      <c r="E1" s="26"/>
    </row>
    <row r="2" spans="1:5" ht="42" customHeight="1">
      <c r="A2" s="29" t="s">
        <v>298</v>
      </c>
      <c r="B2" s="26"/>
      <c r="C2" s="26"/>
      <c r="D2" s="26"/>
      <c r="E2" s="26"/>
    </row>
    <row r="3" spans="1:5" ht="15.75">
      <c r="A3" s="28" t="s">
        <v>2</v>
      </c>
      <c r="B3" s="26"/>
      <c r="C3" s="26"/>
      <c r="D3" s="26"/>
      <c r="E3" s="26"/>
    </row>
    <row r="4" spans="1:5" ht="15.75">
      <c r="A4" s="7" t="s">
        <v>87</v>
      </c>
    </row>
    <row r="5" spans="1:5" ht="27.95" customHeight="1">
      <c r="A5" s="1" t="s">
        <v>299</v>
      </c>
      <c r="B5" s="1" t="s">
        <v>300</v>
      </c>
      <c r="C5" s="1" t="s">
        <v>301</v>
      </c>
      <c r="D5" s="1" t="s">
        <v>302</v>
      </c>
      <c r="E5" s="1" t="s">
        <v>303</v>
      </c>
    </row>
    <row r="6" spans="1:5" ht="32.1" customHeight="1">
      <c r="A6" s="2" t="s">
        <v>304</v>
      </c>
      <c r="B6" s="3" t="s">
        <v>305</v>
      </c>
      <c r="C6" s="3" t="s">
        <v>306</v>
      </c>
      <c r="D6" s="3" t="s">
        <v>307</v>
      </c>
      <c r="E6" s="3" t="s">
        <v>308</v>
      </c>
    </row>
    <row r="7" spans="1:5" ht="39.950000000000003" customHeight="1">
      <c r="A7" s="4" t="s">
        <v>309</v>
      </c>
      <c r="B7" s="5" t="s">
        <v>310</v>
      </c>
      <c r="C7" s="5" t="s">
        <v>311</v>
      </c>
      <c r="D7" s="5" t="s">
        <v>312</v>
      </c>
      <c r="E7" s="5" t="s">
        <v>313</v>
      </c>
    </row>
    <row r="8" spans="1:5" ht="32.1" customHeight="1">
      <c r="A8" s="2" t="s">
        <v>314</v>
      </c>
      <c r="B8" s="3" t="s">
        <v>315</v>
      </c>
      <c r="C8" s="3" t="s">
        <v>316</v>
      </c>
      <c r="D8" s="3" t="s">
        <v>317</v>
      </c>
      <c r="E8" s="3" t="s">
        <v>318</v>
      </c>
    </row>
    <row r="9" spans="1:5" ht="32.1" customHeight="1">
      <c r="A9" s="4" t="s">
        <v>319</v>
      </c>
      <c r="B9" s="5" t="s">
        <v>320</v>
      </c>
      <c r="C9" s="5" t="s">
        <v>321</v>
      </c>
      <c r="D9" s="5" t="s">
        <v>322</v>
      </c>
      <c r="E9" s="5" t="s">
        <v>323</v>
      </c>
    </row>
    <row r="10" spans="1:5" ht="32.1" customHeight="1">
      <c r="A10" s="2" t="s">
        <v>324</v>
      </c>
      <c r="B10" s="3" t="s">
        <v>325</v>
      </c>
      <c r="C10" s="3" t="s">
        <v>326</v>
      </c>
      <c r="D10" s="3" t="s">
        <v>327</v>
      </c>
      <c r="E10" s="3" t="s">
        <v>328</v>
      </c>
    </row>
    <row r="11" spans="1:5" ht="32.1" customHeight="1">
      <c r="A11" s="4" t="s">
        <v>329</v>
      </c>
      <c r="B11" s="5" t="s">
        <v>330</v>
      </c>
      <c r="C11" s="5" t="s">
        <v>331</v>
      </c>
      <c r="D11" s="5" t="s">
        <v>332</v>
      </c>
      <c r="E11" s="5" t="s">
        <v>333</v>
      </c>
    </row>
    <row r="12" spans="1:5" ht="32.1" customHeight="1">
      <c r="A12" s="2" t="s">
        <v>334</v>
      </c>
      <c r="B12" s="3" t="s">
        <v>335</v>
      </c>
      <c r="C12" s="3" t="s">
        <v>336</v>
      </c>
      <c r="D12" s="3" t="s">
        <v>337</v>
      </c>
      <c r="E12" s="3" t="s">
        <v>338</v>
      </c>
    </row>
    <row r="13" spans="1:5" ht="32.1" customHeight="1">
      <c r="A13" s="4" t="s">
        <v>339</v>
      </c>
      <c r="B13" s="5" t="s">
        <v>340</v>
      </c>
      <c r="C13" s="5" t="s">
        <v>341</v>
      </c>
      <c r="D13" s="5" t="s">
        <v>342</v>
      </c>
      <c r="E13" s="5" t="s">
        <v>343</v>
      </c>
    </row>
    <row r="14" spans="1:5" ht="32.1" customHeight="1">
      <c r="A14" s="2" t="s">
        <v>344</v>
      </c>
      <c r="B14" s="3" t="s">
        <v>345</v>
      </c>
      <c r="C14" s="3" t="s">
        <v>346</v>
      </c>
      <c r="D14" s="3" t="s">
        <v>347</v>
      </c>
      <c r="E14" s="3" t="s">
        <v>348</v>
      </c>
    </row>
    <row r="15" spans="1:5" ht="32.1" customHeight="1">
      <c r="A15" s="4" t="s">
        <v>349</v>
      </c>
      <c r="B15" s="5" t="s">
        <v>350</v>
      </c>
      <c r="C15" s="5" t="s">
        <v>351</v>
      </c>
      <c r="D15" s="5" t="s">
        <v>352</v>
      </c>
      <c r="E15" s="5" t="s">
        <v>353</v>
      </c>
    </row>
    <row r="16" spans="1:5" ht="32.1" customHeight="1">
      <c r="A16" s="2" t="s">
        <v>354</v>
      </c>
      <c r="B16" s="3" t="s">
        <v>355</v>
      </c>
      <c r="C16" s="3" t="s">
        <v>356</v>
      </c>
      <c r="D16" s="3" t="s">
        <v>357</v>
      </c>
      <c r="E16" s="3" t="s">
        <v>353</v>
      </c>
    </row>
    <row r="17" spans="1:5" ht="32.1" customHeight="1">
      <c r="A17" s="4" t="s">
        <v>358</v>
      </c>
      <c r="B17" s="5" t="s">
        <v>359</v>
      </c>
      <c r="C17" s="5" t="s">
        <v>360</v>
      </c>
      <c r="D17" s="5" t="s">
        <v>361</v>
      </c>
      <c r="E17" s="5" t="s">
        <v>362</v>
      </c>
    </row>
  </sheetData>
  <autoFilter ref="A5:E17" xr:uid="{00000000-0001-0000-0300-000000000000}"/>
  <mergeCells count="3">
    <mergeCell ref="A2:E2"/>
    <mergeCell ref="A1:E1"/>
    <mergeCell ref="A3:E3"/>
  </mergeCells>
  <phoneticPr fontId="15" type="noConversion"/>
  <hyperlinks>
    <hyperlink ref="A4" location="'00_阅读说明'!A1" display="返回目录" xr:uid="{00000000-0004-0000-0300-000000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47D92"/>
  </sheetPr>
  <dimension ref="A1:E19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B6" sqref="B6"/>
    </sheetView>
  </sheetViews>
  <sheetFormatPr defaultRowHeight="15"/>
  <cols>
    <col min="1" max="1" width="14" customWidth="1"/>
    <col min="2" max="2" width="30" customWidth="1"/>
    <col min="3" max="3" width="76" customWidth="1"/>
    <col min="4" max="4" width="81" customWidth="1"/>
    <col min="5" max="5" width="66" customWidth="1"/>
  </cols>
  <sheetData>
    <row r="1" spans="1:5" ht="42" customHeight="1">
      <c r="A1" s="27" t="s">
        <v>64</v>
      </c>
      <c r="B1" s="26"/>
      <c r="C1" s="26"/>
      <c r="D1" s="26"/>
      <c r="E1" s="26"/>
    </row>
    <row r="2" spans="1:5" ht="42" customHeight="1">
      <c r="A2" s="29" t="s">
        <v>363</v>
      </c>
      <c r="B2" s="26"/>
      <c r="C2" s="26"/>
      <c r="D2" s="26"/>
      <c r="E2" s="26"/>
    </row>
    <row r="3" spans="1:5" ht="15.75">
      <c r="A3" s="28" t="s">
        <v>2</v>
      </c>
      <c r="B3" s="26"/>
      <c r="C3" s="26"/>
      <c r="D3" s="26"/>
      <c r="E3" s="26"/>
    </row>
    <row r="4" spans="1:5" ht="15.75">
      <c r="A4" s="7" t="s">
        <v>87</v>
      </c>
    </row>
    <row r="5" spans="1:5" ht="27.95" customHeight="1">
      <c r="A5" s="1" t="s">
        <v>88</v>
      </c>
      <c r="B5" s="1" t="s">
        <v>364</v>
      </c>
      <c r="C5" s="1" t="s">
        <v>365</v>
      </c>
      <c r="D5" s="1" t="s">
        <v>366</v>
      </c>
      <c r="E5" s="1" t="s">
        <v>367</v>
      </c>
    </row>
    <row r="6" spans="1:5" ht="32.1" customHeight="1">
      <c r="A6" s="2" t="s">
        <v>368</v>
      </c>
      <c r="B6" s="3" t="s">
        <v>369</v>
      </c>
      <c r="C6" s="3" t="s">
        <v>370</v>
      </c>
      <c r="D6" s="3" t="s">
        <v>371</v>
      </c>
      <c r="E6" s="3" t="s">
        <v>372</v>
      </c>
    </row>
    <row r="7" spans="1:5" ht="32.1" customHeight="1">
      <c r="A7" s="4" t="s">
        <v>373</v>
      </c>
      <c r="B7" s="5" t="s">
        <v>374</v>
      </c>
      <c r="C7" s="5" t="s">
        <v>375</v>
      </c>
      <c r="D7" s="5" t="s">
        <v>376</v>
      </c>
      <c r="E7" s="5" t="s">
        <v>377</v>
      </c>
    </row>
    <row r="8" spans="1:5" ht="32.1" customHeight="1">
      <c r="A8" s="2" t="s">
        <v>378</v>
      </c>
      <c r="B8" s="3" t="s">
        <v>379</v>
      </c>
      <c r="C8" s="3" t="s">
        <v>380</v>
      </c>
      <c r="D8" s="3" t="s">
        <v>381</v>
      </c>
      <c r="E8" s="3" t="s">
        <v>382</v>
      </c>
    </row>
    <row r="9" spans="1:5" ht="32.1" customHeight="1">
      <c r="A9" s="4" t="s">
        <v>383</v>
      </c>
      <c r="B9" s="5" t="s">
        <v>384</v>
      </c>
      <c r="C9" s="5" t="s">
        <v>385</v>
      </c>
      <c r="D9" s="5" t="s">
        <v>386</v>
      </c>
      <c r="E9" s="5" t="s">
        <v>387</v>
      </c>
    </row>
    <row r="10" spans="1:5" ht="32.1" customHeight="1">
      <c r="A10" s="2" t="s">
        <v>388</v>
      </c>
      <c r="B10" s="3" t="s">
        <v>389</v>
      </c>
      <c r="C10" s="3" t="s">
        <v>390</v>
      </c>
      <c r="D10" s="3" t="s">
        <v>391</v>
      </c>
      <c r="E10" s="3" t="s">
        <v>392</v>
      </c>
    </row>
    <row r="11" spans="1:5" ht="32.1" customHeight="1">
      <c r="A11" s="4" t="s">
        <v>393</v>
      </c>
      <c r="B11" s="5" t="s">
        <v>394</v>
      </c>
      <c r="C11" s="5" t="s">
        <v>395</v>
      </c>
      <c r="D11" s="5" t="s">
        <v>396</v>
      </c>
      <c r="E11" s="5" t="s">
        <v>397</v>
      </c>
    </row>
    <row r="12" spans="1:5" ht="32.1" customHeight="1">
      <c r="A12" s="2" t="s">
        <v>398</v>
      </c>
      <c r="B12" s="3" t="s">
        <v>399</v>
      </c>
      <c r="C12" s="3" t="s">
        <v>400</v>
      </c>
      <c r="D12" s="3" t="s">
        <v>401</v>
      </c>
      <c r="E12" s="3" t="s">
        <v>402</v>
      </c>
    </row>
    <row r="13" spans="1:5" ht="32.1" customHeight="1">
      <c r="A13" s="4" t="s">
        <v>403</v>
      </c>
      <c r="B13" s="5" t="s">
        <v>404</v>
      </c>
      <c r="C13" s="5" t="s">
        <v>405</v>
      </c>
      <c r="D13" s="5" t="s">
        <v>406</v>
      </c>
      <c r="E13" s="5" t="s">
        <v>407</v>
      </c>
    </row>
    <row r="14" spans="1:5" ht="32.1" customHeight="1">
      <c r="A14" s="2" t="s">
        <v>408</v>
      </c>
      <c r="B14" s="3" t="s">
        <v>409</v>
      </c>
      <c r="C14" s="3" t="s">
        <v>410</v>
      </c>
      <c r="D14" s="3" t="s">
        <v>411</v>
      </c>
      <c r="E14" s="3" t="s">
        <v>412</v>
      </c>
    </row>
    <row r="15" spans="1:5" ht="32.1" customHeight="1">
      <c r="A15" s="4" t="s">
        <v>413</v>
      </c>
      <c r="B15" s="5" t="s">
        <v>414</v>
      </c>
      <c r="C15" s="5" t="s">
        <v>415</v>
      </c>
      <c r="D15" s="5" t="s">
        <v>416</v>
      </c>
      <c r="E15" s="5" t="s">
        <v>417</v>
      </c>
    </row>
    <row r="16" spans="1:5" ht="32.1" customHeight="1">
      <c r="A16" s="2" t="s">
        <v>418</v>
      </c>
      <c r="B16" s="3" t="s">
        <v>419</v>
      </c>
      <c r="C16" s="3" t="s">
        <v>420</v>
      </c>
      <c r="D16" s="3" t="s">
        <v>421</v>
      </c>
      <c r="E16" s="3" t="s">
        <v>422</v>
      </c>
    </row>
    <row r="17" spans="1:5" ht="32.1" customHeight="1">
      <c r="A17" s="4" t="s">
        <v>423</v>
      </c>
      <c r="B17" s="5" t="s">
        <v>424</v>
      </c>
      <c r="C17" s="5" t="s">
        <v>425</v>
      </c>
      <c r="D17" s="5" t="s">
        <v>426</v>
      </c>
      <c r="E17" s="5" t="s">
        <v>427</v>
      </c>
    </row>
    <row r="18" spans="1:5" ht="32.1" customHeight="1">
      <c r="A18" s="2" t="s">
        <v>428</v>
      </c>
      <c r="B18" s="3" t="s">
        <v>429</v>
      </c>
      <c r="C18" s="3" t="s">
        <v>430</v>
      </c>
      <c r="D18" s="3" t="s">
        <v>431</v>
      </c>
      <c r="E18" s="3" t="s">
        <v>432</v>
      </c>
    </row>
    <row r="19" spans="1:5" ht="32.1" customHeight="1">
      <c r="A19" s="4" t="s">
        <v>433</v>
      </c>
      <c r="B19" s="5" t="s">
        <v>434</v>
      </c>
      <c r="C19" s="5" t="s">
        <v>435</v>
      </c>
      <c r="D19" s="5" t="s">
        <v>436</v>
      </c>
      <c r="E19" s="5" t="s">
        <v>437</v>
      </c>
    </row>
  </sheetData>
  <autoFilter ref="A5:E19" xr:uid="{00000000-0001-0000-0400-000000000000}"/>
  <mergeCells count="3">
    <mergeCell ref="A2:E2"/>
    <mergeCell ref="A1:E1"/>
    <mergeCell ref="A3:E3"/>
  </mergeCells>
  <phoneticPr fontId="15" type="noConversion"/>
  <hyperlinks>
    <hyperlink ref="A4" location="'00_阅读说明'!A1" display="返回目录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147D92"/>
  </sheetPr>
  <dimension ref="A1:E19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B6" sqref="B6"/>
    </sheetView>
  </sheetViews>
  <sheetFormatPr defaultRowHeight="15"/>
  <cols>
    <col min="1" max="1" width="14" customWidth="1"/>
    <col min="2" max="2" width="28" customWidth="1"/>
    <col min="3" max="3" width="91" customWidth="1"/>
    <col min="4" max="4" width="65" customWidth="1"/>
    <col min="5" max="5" width="78" customWidth="1"/>
  </cols>
  <sheetData>
    <row r="1" spans="1:5" ht="42" customHeight="1">
      <c r="A1" s="27" t="s">
        <v>438</v>
      </c>
      <c r="B1" s="26"/>
      <c r="C1" s="26"/>
      <c r="D1" s="26"/>
      <c r="E1" s="26"/>
    </row>
    <row r="2" spans="1:5" ht="42" customHeight="1">
      <c r="A2" s="29" t="s">
        <v>439</v>
      </c>
      <c r="B2" s="26"/>
      <c r="C2" s="26"/>
      <c r="D2" s="26"/>
      <c r="E2" s="26"/>
    </row>
    <row r="3" spans="1:5" ht="15.75">
      <c r="A3" s="28" t="s">
        <v>2</v>
      </c>
      <c r="B3" s="26"/>
      <c r="C3" s="26"/>
      <c r="D3" s="26"/>
      <c r="E3" s="26"/>
    </row>
    <row r="4" spans="1:5" ht="15.75">
      <c r="A4" s="7" t="s">
        <v>87</v>
      </c>
    </row>
    <row r="5" spans="1:5" ht="27.95" customHeight="1">
      <c r="A5" s="1" t="s">
        <v>88</v>
      </c>
      <c r="B5" s="1" t="s">
        <v>440</v>
      </c>
      <c r="C5" s="1" t="s">
        <v>441</v>
      </c>
      <c r="D5" s="1" t="s">
        <v>442</v>
      </c>
      <c r="E5" s="1" t="s">
        <v>443</v>
      </c>
    </row>
    <row r="6" spans="1:5" ht="32.1" customHeight="1">
      <c r="A6" s="2" t="s">
        <v>444</v>
      </c>
      <c r="B6" s="3" t="s">
        <v>445</v>
      </c>
      <c r="C6" s="3" t="s">
        <v>446</v>
      </c>
      <c r="D6" s="3" t="s">
        <v>447</v>
      </c>
      <c r="E6" s="3" t="s">
        <v>448</v>
      </c>
    </row>
    <row r="7" spans="1:5" ht="32.1" customHeight="1">
      <c r="A7" s="4" t="s">
        <v>449</v>
      </c>
      <c r="B7" s="5" t="s">
        <v>450</v>
      </c>
      <c r="C7" s="5" t="s">
        <v>451</v>
      </c>
      <c r="D7" s="5" t="s">
        <v>452</v>
      </c>
      <c r="E7" s="5" t="s">
        <v>453</v>
      </c>
    </row>
    <row r="8" spans="1:5" ht="32.1" customHeight="1">
      <c r="A8" s="2" t="s">
        <v>454</v>
      </c>
      <c r="B8" s="3" t="s">
        <v>455</v>
      </c>
      <c r="C8" s="3" t="s">
        <v>456</v>
      </c>
      <c r="D8" s="3" t="s">
        <v>457</v>
      </c>
      <c r="E8" s="3" t="s">
        <v>458</v>
      </c>
    </row>
    <row r="9" spans="1:5" ht="32.1" customHeight="1">
      <c r="A9" s="4" t="s">
        <v>459</v>
      </c>
      <c r="B9" s="5" t="s">
        <v>460</v>
      </c>
      <c r="C9" s="5" t="s">
        <v>461</v>
      </c>
      <c r="D9" s="5" t="s">
        <v>462</v>
      </c>
      <c r="E9" s="5" t="s">
        <v>463</v>
      </c>
    </row>
    <row r="10" spans="1:5" ht="32.1" customHeight="1">
      <c r="A10" s="2" t="s">
        <v>464</v>
      </c>
      <c r="B10" s="3" t="s">
        <v>465</v>
      </c>
      <c r="C10" s="3" t="s">
        <v>466</v>
      </c>
      <c r="D10" s="3" t="s">
        <v>467</v>
      </c>
      <c r="E10" s="3" t="s">
        <v>468</v>
      </c>
    </row>
    <row r="11" spans="1:5" ht="32.1" customHeight="1">
      <c r="A11" s="4" t="s">
        <v>469</v>
      </c>
      <c r="B11" s="5" t="s">
        <v>470</v>
      </c>
      <c r="C11" s="5" t="s">
        <v>471</v>
      </c>
      <c r="D11" s="5" t="s">
        <v>472</v>
      </c>
      <c r="E11" s="5" t="s">
        <v>473</v>
      </c>
    </row>
    <row r="12" spans="1:5" ht="32.1" customHeight="1">
      <c r="A12" s="2" t="s">
        <v>474</v>
      </c>
      <c r="B12" s="3" t="s">
        <v>475</v>
      </c>
      <c r="C12" s="3" t="s">
        <v>476</v>
      </c>
      <c r="D12" s="3" t="s">
        <v>477</v>
      </c>
      <c r="E12" s="3" t="s">
        <v>478</v>
      </c>
    </row>
    <row r="13" spans="1:5" ht="32.1" customHeight="1">
      <c r="A13" s="4" t="s">
        <v>479</v>
      </c>
      <c r="B13" s="5" t="s">
        <v>480</v>
      </c>
      <c r="C13" s="5" t="s">
        <v>481</v>
      </c>
      <c r="D13" s="5" t="s">
        <v>482</v>
      </c>
      <c r="E13" s="5" t="s">
        <v>483</v>
      </c>
    </row>
    <row r="14" spans="1:5" ht="32.1" customHeight="1">
      <c r="A14" s="2" t="s">
        <v>484</v>
      </c>
      <c r="B14" s="3" t="s">
        <v>485</v>
      </c>
      <c r="C14" s="3" t="s">
        <v>486</v>
      </c>
      <c r="D14" s="3" t="s">
        <v>487</v>
      </c>
      <c r="E14" s="3" t="s">
        <v>488</v>
      </c>
    </row>
    <row r="15" spans="1:5" ht="32.1" customHeight="1">
      <c r="A15" s="4" t="s">
        <v>489</v>
      </c>
      <c r="B15" s="5" t="s">
        <v>490</v>
      </c>
      <c r="C15" s="5" t="s">
        <v>491</v>
      </c>
      <c r="D15" s="5" t="s">
        <v>492</v>
      </c>
      <c r="E15" s="5" t="s">
        <v>493</v>
      </c>
    </row>
    <row r="16" spans="1:5" ht="32.1" customHeight="1">
      <c r="A16" s="2" t="s">
        <v>494</v>
      </c>
      <c r="B16" s="3" t="s">
        <v>495</v>
      </c>
      <c r="C16" s="3" t="s">
        <v>496</v>
      </c>
      <c r="D16" s="3" t="s">
        <v>497</v>
      </c>
      <c r="E16" s="3" t="s">
        <v>498</v>
      </c>
    </row>
    <row r="17" spans="1:5" ht="32.1" customHeight="1">
      <c r="A17" s="4" t="s">
        <v>499</v>
      </c>
      <c r="B17" s="5" t="s">
        <v>500</v>
      </c>
      <c r="C17" s="5" t="s">
        <v>501</v>
      </c>
      <c r="D17" s="5" t="s">
        <v>502</v>
      </c>
      <c r="E17" s="5" t="s">
        <v>503</v>
      </c>
    </row>
    <row r="18" spans="1:5" ht="32.1" customHeight="1">
      <c r="A18" s="2" t="s">
        <v>504</v>
      </c>
      <c r="B18" s="3" t="s">
        <v>505</v>
      </c>
      <c r="C18" s="3" t="s">
        <v>506</v>
      </c>
      <c r="D18" s="3" t="s">
        <v>507</v>
      </c>
      <c r="E18" s="3" t="s">
        <v>508</v>
      </c>
    </row>
    <row r="19" spans="1:5" ht="32.1" customHeight="1">
      <c r="A19" s="4" t="s">
        <v>509</v>
      </c>
      <c r="B19" s="5" t="s">
        <v>510</v>
      </c>
      <c r="C19" s="5" t="s">
        <v>511</v>
      </c>
      <c r="D19" s="5" t="s">
        <v>512</v>
      </c>
      <c r="E19" s="5" t="s">
        <v>513</v>
      </c>
    </row>
  </sheetData>
  <autoFilter ref="A5:E19" xr:uid="{00000000-0001-0000-0500-000000000000}"/>
  <mergeCells count="3">
    <mergeCell ref="A2:E2"/>
    <mergeCell ref="A1:E1"/>
    <mergeCell ref="A3:E3"/>
  </mergeCells>
  <phoneticPr fontId="15" type="noConversion"/>
  <hyperlinks>
    <hyperlink ref="A4" location="'00_阅读说明'!A1" display="返回目录" xr:uid="{00000000-0004-0000-0500-00000000000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47D92"/>
  </sheetPr>
  <dimension ref="A1:E19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B6" sqref="B6"/>
    </sheetView>
  </sheetViews>
  <sheetFormatPr defaultRowHeight="15"/>
  <cols>
    <col min="1" max="1" width="14" customWidth="1"/>
    <col min="2" max="2" width="31" customWidth="1"/>
    <col min="3" max="3" width="99" customWidth="1"/>
    <col min="4" max="4" width="86" customWidth="1"/>
    <col min="5" max="5" width="87" customWidth="1"/>
  </cols>
  <sheetData>
    <row r="1" spans="1:5" ht="42" customHeight="1">
      <c r="A1" s="27" t="s">
        <v>69</v>
      </c>
      <c r="B1" s="26"/>
      <c r="C1" s="26"/>
      <c r="D1" s="26"/>
      <c r="E1" s="26"/>
    </row>
    <row r="2" spans="1:5" ht="42" customHeight="1">
      <c r="A2" s="29" t="s">
        <v>514</v>
      </c>
      <c r="B2" s="26"/>
      <c r="C2" s="26"/>
      <c r="D2" s="26"/>
      <c r="E2" s="26"/>
    </row>
    <row r="3" spans="1:5" ht="15.75">
      <c r="A3" s="28" t="s">
        <v>2</v>
      </c>
      <c r="B3" s="26"/>
      <c r="C3" s="26"/>
      <c r="D3" s="26"/>
      <c r="E3" s="26"/>
    </row>
    <row r="4" spans="1:5" ht="15.75">
      <c r="A4" s="7" t="s">
        <v>87</v>
      </c>
    </row>
    <row r="5" spans="1:5" ht="27.95" customHeight="1">
      <c r="A5" s="1" t="s">
        <v>88</v>
      </c>
      <c r="B5" s="1" t="s">
        <v>515</v>
      </c>
      <c r="C5" s="1" t="s">
        <v>516</v>
      </c>
      <c r="D5" s="1" t="s">
        <v>517</v>
      </c>
      <c r="E5" s="1" t="s">
        <v>518</v>
      </c>
    </row>
    <row r="6" spans="1:5" ht="32.1" customHeight="1">
      <c r="A6" s="2" t="s">
        <v>519</v>
      </c>
      <c r="B6" s="3" t="s">
        <v>520</v>
      </c>
      <c r="C6" s="3" t="s">
        <v>521</v>
      </c>
      <c r="D6" s="3" t="s">
        <v>522</v>
      </c>
      <c r="E6" s="3" t="s">
        <v>523</v>
      </c>
    </row>
    <row r="7" spans="1:5" ht="32.1" customHeight="1">
      <c r="A7" s="4" t="s">
        <v>524</v>
      </c>
      <c r="B7" s="5" t="s">
        <v>525</v>
      </c>
      <c r="C7" s="5" t="s">
        <v>526</v>
      </c>
      <c r="D7" s="5" t="s">
        <v>527</v>
      </c>
      <c r="E7" s="5" t="s">
        <v>528</v>
      </c>
    </row>
    <row r="8" spans="1:5" ht="32.1" customHeight="1">
      <c r="A8" s="2" t="s">
        <v>529</v>
      </c>
      <c r="B8" s="3" t="s">
        <v>530</v>
      </c>
      <c r="C8" s="3" t="s">
        <v>531</v>
      </c>
      <c r="D8" s="3" t="s">
        <v>532</v>
      </c>
      <c r="E8" s="3" t="s">
        <v>533</v>
      </c>
    </row>
    <row r="9" spans="1:5" ht="32.1" customHeight="1">
      <c r="A9" s="4" t="s">
        <v>534</v>
      </c>
      <c r="B9" s="5" t="s">
        <v>535</v>
      </c>
      <c r="C9" s="5" t="s">
        <v>536</v>
      </c>
      <c r="D9" s="5" t="s">
        <v>537</v>
      </c>
      <c r="E9" s="5" t="s">
        <v>538</v>
      </c>
    </row>
    <row r="10" spans="1:5" ht="32.1" customHeight="1">
      <c r="A10" s="2" t="s">
        <v>539</v>
      </c>
      <c r="B10" s="3" t="s">
        <v>540</v>
      </c>
      <c r="C10" s="3" t="s">
        <v>541</v>
      </c>
      <c r="D10" s="3" t="s">
        <v>542</v>
      </c>
      <c r="E10" s="3" t="s">
        <v>543</v>
      </c>
    </row>
    <row r="11" spans="1:5" ht="32.1" customHeight="1">
      <c r="A11" s="4" t="s">
        <v>544</v>
      </c>
      <c r="B11" s="5" t="s">
        <v>545</v>
      </c>
      <c r="C11" s="5" t="s">
        <v>546</v>
      </c>
      <c r="D11" s="5" t="s">
        <v>547</v>
      </c>
      <c r="E11" s="5" t="s">
        <v>548</v>
      </c>
    </row>
    <row r="12" spans="1:5" ht="32.1" customHeight="1">
      <c r="A12" s="2" t="s">
        <v>549</v>
      </c>
      <c r="B12" s="3" t="s">
        <v>550</v>
      </c>
      <c r="C12" s="3" t="s">
        <v>551</v>
      </c>
      <c r="D12" s="3" t="s">
        <v>552</v>
      </c>
      <c r="E12" s="3" t="s">
        <v>553</v>
      </c>
    </row>
    <row r="13" spans="1:5" ht="32.1" customHeight="1">
      <c r="A13" s="4" t="s">
        <v>554</v>
      </c>
      <c r="B13" s="5" t="s">
        <v>555</v>
      </c>
      <c r="C13" s="5" t="s">
        <v>556</v>
      </c>
      <c r="D13" s="5" t="s">
        <v>557</v>
      </c>
      <c r="E13" s="5" t="s">
        <v>558</v>
      </c>
    </row>
    <row r="14" spans="1:5" ht="32.1" customHeight="1">
      <c r="A14" s="2" t="s">
        <v>559</v>
      </c>
      <c r="B14" s="3" t="s">
        <v>560</v>
      </c>
      <c r="C14" s="3" t="s">
        <v>561</v>
      </c>
      <c r="D14" s="3" t="s">
        <v>562</v>
      </c>
      <c r="E14" s="3" t="s">
        <v>563</v>
      </c>
    </row>
    <row r="15" spans="1:5" ht="32.1" customHeight="1">
      <c r="A15" s="4" t="s">
        <v>564</v>
      </c>
      <c r="B15" s="5" t="s">
        <v>565</v>
      </c>
      <c r="C15" s="5" t="s">
        <v>566</v>
      </c>
      <c r="D15" s="5" t="s">
        <v>567</v>
      </c>
      <c r="E15" s="5" t="s">
        <v>568</v>
      </c>
    </row>
    <row r="16" spans="1:5" ht="32.1" customHeight="1">
      <c r="A16" s="2" t="s">
        <v>569</v>
      </c>
      <c r="B16" s="3" t="s">
        <v>570</v>
      </c>
      <c r="C16" s="3" t="s">
        <v>571</v>
      </c>
      <c r="D16" s="3" t="s">
        <v>572</v>
      </c>
      <c r="E16" s="3" t="s">
        <v>573</v>
      </c>
    </row>
    <row r="17" spans="1:5" ht="32.1" customHeight="1">
      <c r="A17" s="4" t="s">
        <v>574</v>
      </c>
      <c r="B17" s="5" t="s">
        <v>575</v>
      </c>
      <c r="C17" s="5" t="s">
        <v>576</v>
      </c>
      <c r="D17" s="5" t="s">
        <v>577</v>
      </c>
      <c r="E17" s="5" t="s">
        <v>578</v>
      </c>
    </row>
    <row r="18" spans="1:5" ht="32.1" customHeight="1">
      <c r="A18" s="2" t="s">
        <v>579</v>
      </c>
      <c r="B18" s="3" t="s">
        <v>580</v>
      </c>
      <c r="C18" s="3" t="s">
        <v>581</v>
      </c>
      <c r="D18" s="3" t="s">
        <v>582</v>
      </c>
      <c r="E18" s="3" t="s">
        <v>583</v>
      </c>
    </row>
    <row r="19" spans="1:5" ht="32.1" customHeight="1">
      <c r="A19" s="4" t="s">
        <v>584</v>
      </c>
      <c r="B19" s="5" t="s">
        <v>585</v>
      </c>
      <c r="C19" s="5" t="s">
        <v>586</v>
      </c>
      <c r="D19" s="5" t="s">
        <v>587</v>
      </c>
      <c r="E19" s="5" t="s">
        <v>588</v>
      </c>
    </row>
  </sheetData>
  <autoFilter ref="A5:E19" xr:uid="{00000000-0001-0000-0600-000000000000}"/>
  <mergeCells count="3">
    <mergeCell ref="A2:E2"/>
    <mergeCell ref="A1:E1"/>
    <mergeCell ref="A3:E3"/>
  </mergeCells>
  <phoneticPr fontId="15" type="noConversion"/>
  <hyperlinks>
    <hyperlink ref="A4" location="'00_阅读说明'!A1" display="返回目录" xr:uid="{00000000-0004-0000-0600-000000000000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147D92"/>
  </sheetPr>
  <dimension ref="A1:E19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B6" sqref="B6"/>
    </sheetView>
  </sheetViews>
  <sheetFormatPr defaultRowHeight="15"/>
  <cols>
    <col min="1" max="1" width="14" customWidth="1"/>
    <col min="2" max="2" width="31" customWidth="1"/>
    <col min="3" max="3" width="88" customWidth="1"/>
    <col min="4" max="4" width="66" customWidth="1"/>
    <col min="5" max="5" width="86" customWidth="1"/>
  </cols>
  <sheetData>
    <row r="1" spans="1:5" ht="42" customHeight="1">
      <c r="A1" s="27" t="s">
        <v>71</v>
      </c>
      <c r="B1" s="26"/>
      <c r="C1" s="26"/>
      <c r="D1" s="26"/>
      <c r="E1" s="26"/>
    </row>
    <row r="2" spans="1:5" ht="42" customHeight="1">
      <c r="A2" s="29" t="s">
        <v>589</v>
      </c>
      <c r="B2" s="26"/>
      <c r="C2" s="26"/>
      <c r="D2" s="26"/>
      <c r="E2" s="26"/>
    </row>
    <row r="3" spans="1:5" ht="15.75">
      <c r="A3" s="28" t="s">
        <v>2</v>
      </c>
      <c r="B3" s="26"/>
      <c r="C3" s="26"/>
      <c r="D3" s="26"/>
      <c r="E3" s="26"/>
    </row>
    <row r="4" spans="1:5" ht="15.75">
      <c r="A4" s="7" t="s">
        <v>87</v>
      </c>
    </row>
    <row r="5" spans="1:5" ht="27.95" customHeight="1">
      <c r="A5" s="1" t="s">
        <v>88</v>
      </c>
      <c r="B5" s="1" t="s">
        <v>590</v>
      </c>
      <c r="C5" s="1" t="s">
        <v>591</v>
      </c>
      <c r="D5" s="1" t="s">
        <v>592</v>
      </c>
      <c r="E5" s="1" t="s">
        <v>593</v>
      </c>
    </row>
    <row r="6" spans="1:5" ht="32.1" customHeight="1">
      <c r="A6" s="2" t="s">
        <v>594</v>
      </c>
      <c r="B6" s="3" t="s">
        <v>595</v>
      </c>
      <c r="C6" s="3" t="s">
        <v>596</v>
      </c>
      <c r="D6" s="3" t="s">
        <v>597</v>
      </c>
      <c r="E6" s="3" t="s">
        <v>598</v>
      </c>
    </row>
    <row r="7" spans="1:5" ht="32.1" customHeight="1">
      <c r="A7" s="4" t="s">
        <v>599</v>
      </c>
      <c r="B7" s="5" t="s">
        <v>600</v>
      </c>
      <c r="C7" s="5" t="s">
        <v>601</v>
      </c>
      <c r="D7" s="5" t="s">
        <v>602</v>
      </c>
      <c r="E7" s="5" t="s">
        <v>603</v>
      </c>
    </row>
    <row r="8" spans="1:5" ht="32.1" customHeight="1">
      <c r="A8" s="2" t="s">
        <v>604</v>
      </c>
      <c r="B8" s="3" t="s">
        <v>605</v>
      </c>
      <c r="C8" s="3" t="s">
        <v>606</v>
      </c>
      <c r="D8" s="3" t="s">
        <v>607</v>
      </c>
      <c r="E8" s="3" t="s">
        <v>608</v>
      </c>
    </row>
    <row r="9" spans="1:5" ht="32.1" customHeight="1">
      <c r="A9" s="4" t="s">
        <v>609</v>
      </c>
      <c r="B9" s="5" t="s">
        <v>610</v>
      </c>
      <c r="C9" s="5" t="s">
        <v>611</v>
      </c>
      <c r="D9" s="5" t="s">
        <v>612</v>
      </c>
      <c r="E9" s="5" t="s">
        <v>613</v>
      </c>
    </row>
    <row r="10" spans="1:5" ht="32.1" customHeight="1">
      <c r="A10" s="2" t="s">
        <v>614</v>
      </c>
      <c r="B10" s="3" t="s">
        <v>615</v>
      </c>
      <c r="C10" s="3" t="s">
        <v>616</v>
      </c>
      <c r="D10" s="3" t="s">
        <v>617</v>
      </c>
      <c r="E10" s="3" t="s">
        <v>618</v>
      </c>
    </row>
    <row r="11" spans="1:5" ht="32.1" customHeight="1">
      <c r="A11" s="4" t="s">
        <v>619</v>
      </c>
      <c r="B11" s="5" t="s">
        <v>620</v>
      </c>
      <c r="C11" s="5" t="s">
        <v>621</v>
      </c>
      <c r="D11" s="5" t="s">
        <v>622</v>
      </c>
      <c r="E11" s="5" t="s">
        <v>623</v>
      </c>
    </row>
    <row r="12" spans="1:5" ht="32.1" customHeight="1">
      <c r="A12" s="2" t="s">
        <v>624</v>
      </c>
      <c r="B12" s="3" t="s">
        <v>625</v>
      </c>
      <c r="C12" s="3" t="s">
        <v>626</v>
      </c>
      <c r="D12" s="3" t="s">
        <v>627</v>
      </c>
      <c r="E12" s="3" t="s">
        <v>628</v>
      </c>
    </row>
    <row r="13" spans="1:5" ht="32.1" customHeight="1">
      <c r="A13" s="4" t="s">
        <v>629</v>
      </c>
      <c r="B13" s="5" t="s">
        <v>630</v>
      </c>
      <c r="C13" s="5" t="s">
        <v>631</v>
      </c>
      <c r="D13" s="5" t="s">
        <v>632</v>
      </c>
      <c r="E13" s="5" t="s">
        <v>633</v>
      </c>
    </row>
    <row r="14" spans="1:5" ht="32.1" customHeight="1">
      <c r="A14" s="2" t="s">
        <v>634</v>
      </c>
      <c r="B14" s="3" t="s">
        <v>635</v>
      </c>
      <c r="C14" s="3" t="s">
        <v>636</v>
      </c>
      <c r="D14" s="3" t="s">
        <v>637</v>
      </c>
      <c r="E14" s="3" t="s">
        <v>638</v>
      </c>
    </row>
    <row r="15" spans="1:5" ht="32.1" customHeight="1">
      <c r="A15" s="4" t="s">
        <v>639</v>
      </c>
      <c r="B15" s="5" t="s">
        <v>640</v>
      </c>
      <c r="C15" s="5" t="s">
        <v>641</v>
      </c>
      <c r="D15" s="5" t="s">
        <v>642</v>
      </c>
      <c r="E15" s="5" t="s">
        <v>643</v>
      </c>
    </row>
    <row r="16" spans="1:5" ht="32.1" customHeight="1">
      <c r="A16" s="2" t="s">
        <v>644</v>
      </c>
      <c r="B16" s="3" t="s">
        <v>645</v>
      </c>
      <c r="C16" s="3" t="s">
        <v>646</v>
      </c>
      <c r="D16" s="3" t="s">
        <v>647</v>
      </c>
      <c r="E16" s="3" t="s">
        <v>648</v>
      </c>
    </row>
    <row r="17" spans="1:5" ht="32.1" customHeight="1">
      <c r="A17" s="4" t="s">
        <v>649</v>
      </c>
      <c r="B17" s="5" t="s">
        <v>650</v>
      </c>
      <c r="C17" s="5" t="s">
        <v>651</v>
      </c>
      <c r="D17" s="5" t="s">
        <v>652</v>
      </c>
      <c r="E17" s="5" t="s">
        <v>653</v>
      </c>
    </row>
    <row r="18" spans="1:5" ht="32.1" customHeight="1">
      <c r="A18" s="2" t="s">
        <v>654</v>
      </c>
      <c r="B18" s="3" t="s">
        <v>655</v>
      </c>
      <c r="C18" s="3" t="s">
        <v>656</v>
      </c>
      <c r="D18" s="3" t="s">
        <v>657</v>
      </c>
      <c r="E18" s="3" t="s">
        <v>658</v>
      </c>
    </row>
    <row r="19" spans="1:5" ht="32.1" customHeight="1">
      <c r="A19" s="4" t="s">
        <v>659</v>
      </c>
      <c r="B19" s="5" t="s">
        <v>660</v>
      </c>
      <c r="C19" s="5" t="s">
        <v>661</v>
      </c>
      <c r="D19" s="5" t="s">
        <v>662</v>
      </c>
      <c r="E19" s="5" t="s">
        <v>663</v>
      </c>
    </row>
  </sheetData>
  <autoFilter ref="A5:E19" xr:uid="{00000000-0001-0000-0700-000000000000}"/>
  <mergeCells count="3">
    <mergeCell ref="A2:E2"/>
    <mergeCell ref="A1:E1"/>
    <mergeCell ref="A3:E3"/>
  </mergeCells>
  <phoneticPr fontId="15" type="noConversion"/>
  <hyperlinks>
    <hyperlink ref="A4" location="'00_阅读说明'!A1" display="返回目录" xr:uid="{00000000-0004-0000-0700-000000000000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147D92"/>
  </sheetPr>
  <dimension ref="A1:H24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B6" sqref="B6"/>
    </sheetView>
  </sheetViews>
  <sheetFormatPr defaultRowHeight="15"/>
  <cols>
    <col min="1" max="1" width="12" customWidth="1"/>
    <col min="2" max="2" width="18" customWidth="1"/>
    <col min="3" max="3" width="41" customWidth="1"/>
    <col min="4" max="4" width="75" customWidth="1"/>
    <col min="5" max="5" width="23" customWidth="1"/>
    <col min="6" max="6" width="87" customWidth="1"/>
    <col min="7" max="7" width="17" customWidth="1"/>
    <col min="8" max="8" width="26" customWidth="1"/>
  </cols>
  <sheetData>
    <row r="1" spans="1:8" ht="42" customHeight="1">
      <c r="A1" s="27" t="s">
        <v>73</v>
      </c>
      <c r="B1" s="26"/>
      <c r="C1" s="26"/>
      <c r="D1" s="26"/>
      <c r="E1" s="26"/>
      <c r="F1" s="26"/>
      <c r="G1" s="26"/>
      <c r="H1" s="26"/>
    </row>
    <row r="2" spans="1:8" ht="42" customHeight="1">
      <c r="A2" s="29" t="s">
        <v>664</v>
      </c>
      <c r="B2" s="26"/>
      <c r="C2" s="26"/>
      <c r="D2" s="26"/>
      <c r="E2" s="26"/>
      <c r="F2" s="26"/>
      <c r="G2" s="26"/>
      <c r="H2" s="26"/>
    </row>
    <row r="3" spans="1:8" ht="15.75">
      <c r="A3" s="28" t="s">
        <v>2</v>
      </c>
      <c r="B3" s="26"/>
      <c r="C3" s="26"/>
      <c r="D3" s="26"/>
      <c r="E3" s="26"/>
      <c r="F3" s="26"/>
      <c r="G3" s="26"/>
      <c r="H3" s="26"/>
    </row>
    <row r="4" spans="1:8" ht="15.75">
      <c r="A4" s="7" t="s">
        <v>87</v>
      </c>
    </row>
    <row r="5" spans="1:8" ht="27.95" customHeight="1">
      <c r="A5" s="1" t="s">
        <v>88</v>
      </c>
      <c r="B5" s="1" t="s">
        <v>665</v>
      </c>
      <c r="C5" s="1" t="s">
        <v>666</v>
      </c>
      <c r="D5" s="1" t="s">
        <v>667</v>
      </c>
      <c r="E5" s="1" t="s">
        <v>668</v>
      </c>
      <c r="F5" s="1" t="s">
        <v>669</v>
      </c>
      <c r="G5" s="1" t="s">
        <v>299</v>
      </c>
      <c r="H5" s="1" t="s">
        <v>670</v>
      </c>
    </row>
    <row r="6" spans="1:8" ht="32.1" customHeight="1">
      <c r="A6" s="2" t="s">
        <v>671</v>
      </c>
      <c r="B6" s="3" t="s">
        <v>262</v>
      </c>
      <c r="C6" s="3" t="s">
        <v>672</v>
      </c>
      <c r="D6" s="3" t="s">
        <v>673</v>
      </c>
      <c r="E6" s="3" t="s">
        <v>674</v>
      </c>
      <c r="F6" s="3" t="s">
        <v>675</v>
      </c>
      <c r="G6" s="8" t="s">
        <v>1188</v>
      </c>
      <c r="H6" s="3" t="s">
        <v>677</v>
      </c>
    </row>
    <row r="7" spans="1:8" ht="32.1" customHeight="1">
      <c r="A7" s="4" t="s">
        <v>678</v>
      </c>
      <c r="B7" s="5" t="s">
        <v>262</v>
      </c>
      <c r="C7" s="5" t="s">
        <v>679</v>
      </c>
      <c r="D7" s="5" t="s">
        <v>680</v>
      </c>
      <c r="E7" s="5" t="s">
        <v>671</v>
      </c>
      <c r="F7" s="5" t="s">
        <v>681</v>
      </c>
      <c r="G7" s="9" t="s">
        <v>676</v>
      </c>
      <c r="H7" s="5" t="s">
        <v>677</v>
      </c>
    </row>
    <row r="8" spans="1:8" ht="32.1" customHeight="1">
      <c r="A8" s="2" t="s">
        <v>682</v>
      </c>
      <c r="B8" s="3" t="s">
        <v>262</v>
      </c>
      <c r="C8" s="3" t="s">
        <v>683</v>
      </c>
      <c r="D8" s="3" t="s">
        <v>684</v>
      </c>
      <c r="E8" s="3" t="s">
        <v>678</v>
      </c>
      <c r="F8" s="3" t="s">
        <v>685</v>
      </c>
      <c r="G8" s="8" t="s">
        <v>676</v>
      </c>
      <c r="H8" s="3" t="s">
        <v>677</v>
      </c>
    </row>
    <row r="9" spans="1:8" ht="32.1" customHeight="1">
      <c r="A9" s="4" t="s">
        <v>686</v>
      </c>
      <c r="B9" s="5" t="s">
        <v>262</v>
      </c>
      <c r="C9" s="5" t="s">
        <v>687</v>
      </c>
      <c r="D9" s="5" t="s">
        <v>688</v>
      </c>
      <c r="E9" s="5" t="s">
        <v>678</v>
      </c>
      <c r="F9" s="5" t="s">
        <v>689</v>
      </c>
      <c r="G9" s="9" t="s">
        <v>676</v>
      </c>
      <c r="H9" s="5" t="s">
        <v>677</v>
      </c>
    </row>
    <row r="10" spans="1:8" ht="32.1" customHeight="1">
      <c r="A10" s="2" t="s">
        <v>690</v>
      </c>
      <c r="B10" s="3" t="s">
        <v>262</v>
      </c>
      <c r="C10" s="3" t="s">
        <v>691</v>
      </c>
      <c r="D10" s="3" t="s">
        <v>692</v>
      </c>
      <c r="E10" s="3" t="s">
        <v>693</v>
      </c>
      <c r="F10" s="3" t="s">
        <v>694</v>
      </c>
      <c r="G10" s="8" t="s">
        <v>676</v>
      </c>
      <c r="H10" s="3" t="s">
        <v>677</v>
      </c>
    </row>
    <row r="11" spans="1:8" ht="32.1" customHeight="1">
      <c r="A11" s="4" t="s">
        <v>695</v>
      </c>
      <c r="B11" s="5" t="s">
        <v>267</v>
      </c>
      <c r="C11" s="5" t="s">
        <v>696</v>
      </c>
      <c r="D11" s="5" t="s">
        <v>697</v>
      </c>
      <c r="E11" s="5" t="s">
        <v>690</v>
      </c>
      <c r="F11" s="5" t="s">
        <v>698</v>
      </c>
      <c r="G11" s="9" t="s">
        <v>676</v>
      </c>
      <c r="H11" s="5" t="s">
        <v>677</v>
      </c>
    </row>
    <row r="12" spans="1:8" ht="32.1" customHeight="1">
      <c r="A12" s="2" t="s">
        <v>699</v>
      </c>
      <c r="B12" s="3" t="s">
        <v>267</v>
      </c>
      <c r="C12" s="3" t="s">
        <v>700</v>
      </c>
      <c r="D12" s="3" t="s">
        <v>701</v>
      </c>
      <c r="E12" s="3" t="s">
        <v>695</v>
      </c>
      <c r="F12" s="3" t="s">
        <v>702</v>
      </c>
      <c r="G12" s="8" t="s">
        <v>676</v>
      </c>
      <c r="H12" s="3" t="s">
        <v>677</v>
      </c>
    </row>
    <row r="13" spans="1:8" ht="32.1" customHeight="1">
      <c r="A13" s="4" t="s">
        <v>703</v>
      </c>
      <c r="B13" s="5" t="s">
        <v>267</v>
      </c>
      <c r="C13" s="5" t="s">
        <v>704</v>
      </c>
      <c r="D13" s="5" t="s">
        <v>705</v>
      </c>
      <c r="E13" s="5" t="s">
        <v>699</v>
      </c>
      <c r="F13" s="5" t="s">
        <v>706</v>
      </c>
      <c r="G13" s="9" t="s">
        <v>676</v>
      </c>
      <c r="H13" s="5" t="s">
        <v>707</v>
      </c>
    </row>
    <row r="14" spans="1:8" ht="32.1" customHeight="1">
      <c r="A14" s="2" t="s">
        <v>708</v>
      </c>
      <c r="B14" s="3" t="s">
        <v>272</v>
      </c>
      <c r="C14" s="3" t="s">
        <v>709</v>
      </c>
      <c r="D14" s="3" t="s">
        <v>710</v>
      </c>
      <c r="E14" s="3" t="s">
        <v>703</v>
      </c>
      <c r="F14" s="3" t="s">
        <v>711</v>
      </c>
      <c r="G14" s="8" t="s">
        <v>676</v>
      </c>
      <c r="H14" s="3" t="s">
        <v>677</v>
      </c>
    </row>
    <row r="15" spans="1:8" ht="32.1" customHeight="1">
      <c r="A15" s="4" t="s">
        <v>712</v>
      </c>
      <c r="B15" s="5" t="s">
        <v>272</v>
      </c>
      <c r="C15" s="5" t="s">
        <v>713</v>
      </c>
      <c r="D15" s="5" t="s">
        <v>714</v>
      </c>
      <c r="E15" s="5" t="s">
        <v>708</v>
      </c>
      <c r="F15" s="5" t="s">
        <v>715</v>
      </c>
      <c r="G15" s="9" t="s">
        <v>676</v>
      </c>
      <c r="H15" s="5" t="s">
        <v>677</v>
      </c>
    </row>
    <row r="16" spans="1:8" ht="32.1" customHeight="1">
      <c r="A16" s="2" t="s">
        <v>716</v>
      </c>
      <c r="B16" s="3" t="s">
        <v>272</v>
      </c>
      <c r="C16" s="3" t="s">
        <v>717</v>
      </c>
      <c r="D16" s="3" t="s">
        <v>718</v>
      </c>
      <c r="E16" s="3" t="s">
        <v>708</v>
      </c>
      <c r="F16" s="3" t="s">
        <v>719</v>
      </c>
      <c r="G16" s="8" t="s">
        <v>676</v>
      </c>
      <c r="H16" s="3" t="s">
        <v>677</v>
      </c>
    </row>
    <row r="17" spans="1:8" ht="32.1" customHeight="1">
      <c r="A17" s="4" t="s">
        <v>720</v>
      </c>
      <c r="B17" s="5" t="s">
        <v>272</v>
      </c>
      <c r="C17" s="5" t="s">
        <v>721</v>
      </c>
      <c r="D17" s="5" t="s">
        <v>722</v>
      </c>
      <c r="E17" s="5" t="s">
        <v>716</v>
      </c>
      <c r="F17" s="5" t="s">
        <v>723</v>
      </c>
      <c r="G17" s="9" t="s">
        <v>676</v>
      </c>
      <c r="H17" s="5" t="s">
        <v>677</v>
      </c>
    </row>
    <row r="18" spans="1:8" ht="32.1" customHeight="1">
      <c r="A18" s="2" t="s">
        <v>724</v>
      </c>
      <c r="B18" s="3" t="s">
        <v>272</v>
      </c>
      <c r="C18" s="3" t="s">
        <v>725</v>
      </c>
      <c r="D18" s="3" t="s">
        <v>726</v>
      </c>
      <c r="E18" s="3" t="s">
        <v>720</v>
      </c>
      <c r="F18" s="3" t="s">
        <v>727</v>
      </c>
      <c r="G18" s="8" t="s">
        <v>676</v>
      </c>
      <c r="H18" s="3" t="s">
        <v>677</v>
      </c>
    </row>
    <row r="19" spans="1:8" ht="32.1" customHeight="1">
      <c r="A19" s="4" t="s">
        <v>728</v>
      </c>
      <c r="B19" s="5" t="s">
        <v>272</v>
      </c>
      <c r="C19" s="5" t="s">
        <v>729</v>
      </c>
      <c r="D19" s="5" t="s">
        <v>730</v>
      </c>
      <c r="E19" s="5" t="s">
        <v>731</v>
      </c>
      <c r="F19" s="5" t="s">
        <v>732</v>
      </c>
      <c r="G19" s="9" t="s">
        <v>676</v>
      </c>
      <c r="H19" s="5" t="s">
        <v>677</v>
      </c>
    </row>
    <row r="20" spans="1:8" ht="32.1" customHeight="1">
      <c r="A20" s="2" t="s">
        <v>733</v>
      </c>
      <c r="B20" s="3" t="s">
        <v>734</v>
      </c>
      <c r="C20" s="3" t="s">
        <v>735</v>
      </c>
      <c r="D20" s="3" t="s">
        <v>736</v>
      </c>
      <c r="E20" s="3" t="s">
        <v>728</v>
      </c>
      <c r="F20" s="3" t="s">
        <v>737</v>
      </c>
      <c r="G20" s="8" t="s">
        <v>738</v>
      </c>
      <c r="H20" s="3" t="s">
        <v>739</v>
      </c>
    </row>
    <row r="21" spans="1:8" ht="32.1" customHeight="1">
      <c r="A21" s="4" t="s">
        <v>740</v>
      </c>
      <c r="B21" s="5" t="s">
        <v>741</v>
      </c>
      <c r="C21" s="5" t="s">
        <v>742</v>
      </c>
      <c r="D21" s="5" t="s">
        <v>743</v>
      </c>
      <c r="E21" s="5" t="s">
        <v>733</v>
      </c>
      <c r="F21" s="5" t="s">
        <v>744</v>
      </c>
      <c r="G21" s="9" t="s">
        <v>745</v>
      </c>
      <c r="H21" s="5" t="s">
        <v>746</v>
      </c>
    </row>
    <row r="22" spans="1:8" ht="32.1" customHeight="1">
      <c r="A22" s="2" t="s">
        <v>747</v>
      </c>
      <c r="B22" s="3" t="s">
        <v>286</v>
      </c>
      <c r="C22" s="3" t="s">
        <v>748</v>
      </c>
      <c r="D22" s="3" t="s">
        <v>749</v>
      </c>
      <c r="E22" s="3" t="s">
        <v>750</v>
      </c>
      <c r="F22" s="3" t="s">
        <v>751</v>
      </c>
      <c r="G22" s="8" t="s">
        <v>752</v>
      </c>
      <c r="H22" s="3" t="s">
        <v>677</v>
      </c>
    </row>
    <row r="23" spans="1:8" ht="32.1" customHeight="1">
      <c r="A23" s="4" t="s">
        <v>753</v>
      </c>
      <c r="B23" s="5" t="s">
        <v>286</v>
      </c>
      <c r="C23" s="5" t="s">
        <v>754</v>
      </c>
      <c r="D23" s="5" t="s">
        <v>755</v>
      </c>
      <c r="E23" s="5" t="s">
        <v>747</v>
      </c>
      <c r="F23" s="5" t="s">
        <v>756</v>
      </c>
      <c r="G23" s="9" t="s">
        <v>752</v>
      </c>
      <c r="H23" s="5" t="s">
        <v>757</v>
      </c>
    </row>
    <row r="24" spans="1:8" ht="32.1" customHeight="1">
      <c r="A24" s="2" t="s">
        <v>758</v>
      </c>
      <c r="B24" s="3" t="s">
        <v>291</v>
      </c>
      <c r="C24" s="3" t="s">
        <v>759</v>
      </c>
      <c r="D24" s="3" t="s">
        <v>760</v>
      </c>
      <c r="E24" s="3" t="s">
        <v>761</v>
      </c>
      <c r="F24" s="3" t="s">
        <v>762</v>
      </c>
      <c r="G24" s="8" t="s">
        <v>752</v>
      </c>
      <c r="H24" s="3" t="s">
        <v>763</v>
      </c>
    </row>
  </sheetData>
  <autoFilter ref="A5:H24" xr:uid="{00000000-0001-0000-0800-000000000000}"/>
  <mergeCells count="3">
    <mergeCell ref="A3:H3"/>
    <mergeCell ref="A2:H2"/>
    <mergeCell ref="A1:H1"/>
  </mergeCells>
  <phoneticPr fontId="15" type="noConversion"/>
  <dataValidations count="1">
    <dataValidation type="list" sqref="G6:G24" xr:uid="{00000000-0002-0000-0800-000000000000}">
      <formula1>"未开始,进行中,待验收,完成,阻塞,候选,后续"</formula1>
    </dataValidation>
  </dataValidations>
  <hyperlinks>
    <hyperlink ref="A4" location="'00_阅读说明'!A1" display="返回目录" xr:uid="{00000000-0004-0000-0800-000000000000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147D92"/>
  </sheetPr>
  <dimension ref="A1:G27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B6" sqref="B6"/>
    </sheetView>
  </sheetViews>
  <sheetFormatPr defaultRowHeight="15"/>
  <cols>
    <col min="1" max="1" width="12" customWidth="1"/>
    <col min="2" max="2" width="25" customWidth="1"/>
    <col min="3" max="3" width="77" customWidth="1"/>
    <col min="4" max="4" width="91" customWidth="1"/>
    <col min="5" max="5" width="17" customWidth="1"/>
    <col min="6" max="6" width="16" customWidth="1"/>
    <col min="7" max="7" width="60" customWidth="1"/>
  </cols>
  <sheetData>
    <row r="1" spans="1:7" ht="42" customHeight="1">
      <c r="A1" s="27" t="s">
        <v>76</v>
      </c>
      <c r="B1" s="26"/>
      <c r="C1" s="26"/>
      <c r="D1" s="26"/>
      <c r="E1" s="26"/>
      <c r="F1" s="26"/>
      <c r="G1" s="26"/>
    </row>
    <row r="2" spans="1:7" ht="42" customHeight="1">
      <c r="A2" s="29" t="s">
        <v>764</v>
      </c>
      <c r="B2" s="26"/>
      <c r="C2" s="26"/>
      <c r="D2" s="26"/>
      <c r="E2" s="26"/>
      <c r="F2" s="26"/>
      <c r="G2" s="26"/>
    </row>
    <row r="3" spans="1:7" ht="15.75">
      <c r="A3" s="28" t="s">
        <v>2</v>
      </c>
      <c r="B3" s="26"/>
      <c r="C3" s="26"/>
      <c r="D3" s="26"/>
      <c r="E3" s="26"/>
      <c r="F3" s="26"/>
      <c r="G3" s="26"/>
    </row>
    <row r="4" spans="1:7" ht="15.75">
      <c r="A4" s="7" t="s">
        <v>87</v>
      </c>
    </row>
    <row r="5" spans="1:7" ht="27.95" customHeight="1">
      <c r="A5" s="1" t="s">
        <v>88</v>
      </c>
      <c r="B5" s="1" t="s">
        <v>89</v>
      </c>
      <c r="C5" s="1" t="s">
        <v>765</v>
      </c>
      <c r="D5" s="1" t="s">
        <v>766</v>
      </c>
      <c r="E5" s="1" t="s">
        <v>665</v>
      </c>
      <c r="F5" s="1" t="s">
        <v>344</v>
      </c>
      <c r="G5" s="1" t="s">
        <v>767</v>
      </c>
    </row>
    <row r="6" spans="1:7" ht="32.1" customHeight="1">
      <c r="A6" s="2" t="s">
        <v>768</v>
      </c>
      <c r="B6" s="3" t="s">
        <v>769</v>
      </c>
      <c r="C6" s="3" t="s">
        <v>770</v>
      </c>
      <c r="D6" s="3" t="s">
        <v>771</v>
      </c>
      <c r="E6" s="3" t="s">
        <v>262</v>
      </c>
      <c r="F6" s="8" t="s">
        <v>772</v>
      </c>
      <c r="G6" s="8" t="s">
        <v>773</v>
      </c>
    </row>
    <row r="7" spans="1:7" ht="32.1" customHeight="1">
      <c r="A7" s="4" t="s">
        <v>774</v>
      </c>
      <c r="B7" s="5" t="s">
        <v>775</v>
      </c>
      <c r="C7" s="5" t="s">
        <v>776</v>
      </c>
      <c r="D7" s="5" t="s">
        <v>777</v>
      </c>
      <c r="E7" s="5" t="s">
        <v>262</v>
      </c>
      <c r="F7" s="9" t="s">
        <v>778</v>
      </c>
      <c r="G7" s="9" t="s">
        <v>779</v>
      </c>
    </row>
    <row r="8" spans="1:7" ht="32.1" customHeight="1">
      <c r="A8" s="2" t="s">
        <v>780</v>
      </c>
      <c r="B8" s="3" t="s">
        <v>781</v>
      </c>
      <c r="C8" s="3" t="s">
        <v>782</v>
      </c>
      <c r="D8" s="3" t="s">
        <v>783</v>
      </c>
      <c r="E8" s="3" t="s">
        <v>267</v>
      </c>
      <c r="F8" s="8" t="s">
        <v>772</v>
      </c>
      <c r="G8" s="8" t="s">
        <v>784</v>
      </c>
    </row>
    <row r="9" spans="1:7" ht="32.1" customHeight="1">
      <c r="A9" s="4" t="s">
        <v>785</v>
      </c>
      <c r="B9" s="5" t="s">
        <v>786</v>
      </c>
      <c r="C9" s="5" t="s">
        <v>787</v>
      </c>
      <c r="D9" s="5" t="s">
        <v>788</v>
      </c>
      <c r="E9" s="5" t="s">
        <v>262</v>
      </c>
      <c r="F9" s="9" t="s">
        <v>778</v>
      </c>
      <c r="G9" s="9" t="s">
        <v>789</v>
      </c>
    </row>
    <row r="10" spans="1:7" ht="32.1" customHeight="1">
      <c r="A10" s="2" t="s">
        <v>790</v>
      </c>
      <c r="B10" s="3" t="s">
        <v>791</v>
      </c>
      <c r="C10" s="3" t="s">
        <v>792</v>
      </c>
      <c r="D10" s="3" t="s">
        <v>793</v>
      </c>
      <c r="E10" s="3" t="s">
        <v>262</v>
      </c>
      <c r="F10" s="8" t="s">
        <v>778</v>
      </c>
      <c r="G10" s="8" t="s">
        <v>794</v>
      </c>
    </row>
    <row r="11" spans="1:7" ht="32.1" customHeight="1">
      <c r="A11" s="4" t="s">
        <v>795</v>
      </c>
      <c r="B11" s="5" t="s">
        <v>796</v>
      </c>
      <c r="C11" s="5" t="s">
        <v>797</v>
      </c>
      <c r="D11" s="5" t="s">
        <v>798</v>
      </c>
      <c r="E11" s="5" t="s">
        <v>267</v>
      </c>
      <c r="F11" s="9" t="s">
        <v>778</v>
      </c>
      <c r="G11" s="9" t="s">
        <v>799</v>
      </c>
    </row>
    <row r="12" spans="1:7" ht="32.1" customHeight="1">
      <c r="A12" s="2" t="s">
        <v>800</v>
      </c>
      <c r="B12" s="3" t="s">
        <v>801</v>
      </c>
      <c r="C12" s="3" t="s">
        <v>802</v>
      </c>
      <c r="D12" s="3" t="s">
        <v>803</v>
      </c>
      <c r="E12" s="3" t="s">
        <v>267</v>
      </c>
      <c r="F12" s="8" t="s">
        <v>778</v>
      </c>
      <c r="G12" s="8" t="s">
        <v>804</v>
      </c>
    </row>
    <row r="13" spans="1:7" ht="32.1" customHeight="1">
      <c r="A13" s="4" t="s">
        <v>805</v>
      </c>
      <c r="B13" s="5" t="s">
        <v>806</v>
      </c>
      <c r="C13" s="5" t="s">
        <v>807</v>
      </c>
      <c r="D13" s="5" t="s">
        <v>808</v>
      </c>
      <c r="E13" s="5" t="s">
        <v>272</v>
      </c>
      <c r="F13" s="9" t="s">
        <v>778</v>
      </c>
      <c r="G13" s="9" t="s">
        <v>809</v>
      </c>
    </row>
    <row r="14" spans="1:7" ht="32.1" customHeight="1">
      <c r="A14" s="2" t="s">
        <v>810</v>
      </c>
      <c r="B14" s="3" t="s">
        <v>811</v>
      </c>
      <c r="C14" s="3" t="s">
        <v>812</v>
      </c>
      <c r="D14" s="3" t="s">
        <v>813</v>
      </c>
      <c r="E14" s="3" t="s">
        <v>272</v>
      </c>
      <c r="F14" s="8" t="s">
        <v>778</v>
      </c>
      <c r="G14" s="8" t="s">
        <v>814</v>
      </c>
    </row>
    <row r="15" spans="1:7" ht="32.1" customHeight="1">
      <c r="A15" s="4" t="s">
        <v>815</v>
      </c>
      <c r="B15" s="5" t="s">
        <v>816</v>
      </c>
      <c r="C15" s="5" t="s">
        <v>817</v>
      </c>
      <c r="D15" s="5" t="s">
        <v>818</v>
      </c>
      <c r="E15" s="5" t="s">
        <v>272</v>
      </c>
      <c r="F15" s="9" t="s">
        <v>778</v>
      </c>
      <c r="G15" s="9" t="s">
        <v>819</v>
      </c>
    </row>
    <row r="16" spans="1:7" ht="32.1" customHeight="1">
      <c r="A16" s="2" t="s">
        <v>820</v>
      </c>
      <c r="B16" s="3" t="s">
        <v>821</v>
      </c>
      <c r="C16" s="3" t="s">
        <v>822</v>
      </c>
      <c r="D16" s="3" t="s">
        <v>823</v>
      </c>
      <c r="E16" s="3" t="s">
        <v>272</v>
      </c>
      <c r="F16" s="8" t="s">
        <v>778</v>
      </c>
      <c r="G16" s="8" t="s">
        <v>824</v>
      </c>
    </row>
    <row r="17" spans="1:7" ht="32.1" customHeight="1">
      <c r="A17" s="4" t="s">
        <v>825</v>
      </c>
      <c r="B17" s="5" t="s">
        <v>826</v>
      </c>
      <c r="C17" s="5" t="s">
        <v>827</v>
      </c>
      <c r="D17" s="5" t="s">
        <v>828</v>
      </c>
      <c r="E17" s="5" t="s">
        <v>272</v>
      </c>
      <c r="F17" s="9" t="s">
        <v>778</v>
      </c>
      <c r="G17" s="9" t="s">
        <v>829</v>
      </c>
    </row>
    <row r="18" spans="1:7" ht="32.1" customHeight="1">
      <c r="A18" s="2" t="s">
        <v>830</v>
      </c>
      <c r="B18" s="3" t="s">
        <v>831</v>
      </c>
      <c r="C18" s="3" t="s">
        <v>832</v>
      </c>
      <c r="D18" s="3" t="s">
        <v>833</v>
      </c>
      <c r="E18" s="3" t="s">
        <v>272</v>
      </c>
      <c r="F18" s="8" t="s">
        <v>778</v>
      </c>
      <c r="G18" s="8" t="s">
        <v>834</v>
      </c>
    </row>
    <row r="19" spans="1:7" ht="32.1" customHeight="1">
      <c r="A19" s="4" t="s">
        <v>835</v>
      </c>
      <c r="B19" s="5" t="s">
        <v>836</v>
      </c>
      <c r="C19" s="5" t="s">
        <v>837</v>
      </c>
      <c r="D19" s="5" t="s">
        <v>838</v>
      </c>
      <c r="E19" s="5" t="s">
        <v>272</v>
      </c>
      <c r="F19" s="9" t="s">
        <v>778</v>
      </c>
      <c r="G19" s="9" t="s">
        <v>839</v>
      </c>
    </row>
    <row r="20" spans="1:7" ht="32.1" customHeight="1">
      <c r="A20" s="2" t="s">
        <v>840</v>
      </c>
      <c r="B20" s="3" t="s">
        <v>841</v>
      </c>
      <c r="C20" s="3" t="s">
        <v>842</v>
      </c>
      <c r="D20" s="3" t="s">
        <v>843</v>
      </c>
      <c r="E20" s="3" t="s">
        <v>272</v>
      </c>
      <c r="F20" s="8" t="s">
        <v>778</v>
      </c>
      <c r="G20" s="8" t="s">
        <v>844</v>
      </c>
    </row>
    <row r="21" spans="1:7" ht="32.1" customHeight="1">
      <c r="A21" s="4" t="s">
        <v>845</v>
      </c>
      <c r="B21" s="5" t="s">
        <v>721</v>
      </c>
      <c r="C21" s="5" t="s">
        <v>846</v>
      </c>
      <c r="D21" s="5" t="s">
        <v>847</v>
      </c>
      <c r="E21" s="5" t="s">
        <v>272</v>
      </c>
      <c r="F21" s="9" t="s">
        <v>778</v>
      </c>
      <c r="G21" s="9" t="s">
        <v>848</v>
      </c>
    </row>
    <row r="22" spans="1:7" ht="32.1" customHeight="1">
      <c r="A22" s="2" t="s">
        <v>849</v>
      </c>
      <c r="B22" s="3" t="s">
        <v>850</v>
      </c>
      <c r="C22" s="3" t="s">
        <v>851</v>
      </c>
      <c r="D22" s="3" t="s">
        <v>852</v>
      </c>
      <c r="E22" s="3" t="s">
        <v>272</v>
      </c>
      <c r="F22" s="8" t="s">
        <v>778</v>
      </c>
      <c r="G22" s="8" t="s">
        <v>853</v>
      </c>
    </row>
    <row r="23" spans="1:7" ht="32.1" customHeight="1">
      <c r="A23" s="4" t="s">
        <v>854</v>
      </c>
      <c r="B23" s="5" t="s">
        <v>855</v>
      </c>
      <c r="C23" s="5" t="s">
        <v>856</v>
      </c>
      <c r="D23" s="5" t="s">
        <v>857</v>
      </c>
      <c r="E23" s="5" t="s">
        <v>272</v>
      </c>
      <c r="F23" s="9" t="s">
        <v>778</v>
      </c>
      <c r="G23" s="9" t="s">
        <v>858</v>
      </c>
    </row>
    <row r="24" spans="1:7" ht="32.1" customHeight="1">
      <c r="A24" s="2" t="s">
        <v>859</v>
      </c>
      <c r="B24" s="3" t="s">
        <v>860</v>
      </c>
      <c r="C24" s="3" t="s">
        <v>861</v>
      </c>
      <c r="D24" s="3" t="s">
        <v>862</v>
      </c>
      <c r="E24" s="3" t="s">
        <v>272</v>
      </c>
      <c r="F24" s="8" t="s">
        <v>778</v>
      </c>
      <c r="G24" s="8" t="s">
        <v>863</v>
      </c>
    </row>
    <row r="25" spans="1:7" ht="32.1" customHeight="1">
      <c r="A25" s="4" t="s">
        <v>864</v>
      </c>
      <c r="B25" s="5" t="s">
        <v>865</v>
      </c>
      <c r="C25" s="5" t="s">
        <v>866</v>
      </c>
      <c r="D25" s="5" t="s">
        <v>867</v>
      </c>
      <c r="E25" s="5" t="s">
        <v>272</v>
      </c>
      <c r="F25" s="9" t="s">
        <v>778</v>
      </c>
      <c r="G25" s="9" t="s">
        <v>868</v>
      </c>
    </row>
    <row r="26" spans="1:7" ht="32.1" customHeight="1">
      <c r="A26" s="2" t="s">
        <v>869</v>
      </c>
      <c r="B26" s="3" t="s">
        <v>870</v>
      </c>
      <c r="C26" s="3" t="s">
        <v>871</v>
      </c>
      <c r="D26" s="3" t="s">
        <v>872</v>
      </c>
      <c r="E26" s="3" t="s">
        <v>272</v>
      </c>
      <c r="F26" s="8" t="s">
        <v>778</v>
      </c>
      <c r="G26" s="8" t="s">
        <v>873</v>
      </c>
    </row>
    <row r="27" spans="1:7" ht="32.1" customHeight="1">
      <c r="A27" s="4" t="s">
        <v>874</v>
      </c>
      <c r="B27" s="5" t="s">
        <v>875</v>
      </c>
      <c r="C27" s="5" t="s">
        <v>876</v>
      </c>
      <c r="D27" s="5" t="s">
        <v>877</v>
      </c>
      <c r="E27" s="5" t="s">
        <v>878</v>
      </c>
      <c r="F27" s="9" t="s">
        <v>778</v>
      </c>
      <c r="G27" s="9" t="s">
        <v>879</v>
      </c>
    </row>
  </sheetData>
  <autoFilter ref="A5:G27" xr:uid="{00000000-0001-0000-0900-000000000000}"/>
  <mergeCells count="3">
    <mergeCell ref="A3:G3"/>
    <mergeCell ref="A2:G2"/>
    <mergeCell ref="A1:G1"/>
  </mergeCells>
  <phoneticPr fontId="15" type="noConversion"/>
  <dataValidations count="1">
    <dataValidation type="list" sqref="F6:F27" xr:uid="{00000000-0002-0000-0900-000000000000}">
      <formula1>"未测,通过,失败,阻塞"</formula1>
    </dataValidation>
  </dataValidations>
  <hyperlinks>
    <hyperlink ref="A4" location="'00_阅读说明'!A1" display="返回目录" xr:uid="{00000000-0004-0000-0900-000000000000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147D92"/>
  </sheetPr>
  <dimension ref="A1:L2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B6" sqref="B6"/>
    </sheetView>
  </sheetViews>
  <sheetFormatPr defaultRowHeight="15"/>
  <cols>
    <col min="1" max="1" width="12" customWidth="1"/>
    <col min="2" max="2" width="29" customWidth="1"/>
    <col min="3" max="4" width="18" customWidth="1"/>
    <col min="5" max="5" width="20" customWidth="1"/>
    <col min="6" max="6" width="25" customWidth="1"/>
    <col min="7" max="7" width="19" customWidth="1"/>
    <col min="8" max="9" width="58" customWidth="1"/>
    <col min="10" max="10" width="24" customWidth="1"/>
    <col min="11" max="11" width="69" customWidth="1"/>
    <col min="12" max="12" width="65" customWidth="1"/>
  </cols>
  <sheetData>
    <row r="1" spans="1:12" ht="42" customHeight="1">
      <c r="A1" s="27" t="s">
        <v>79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</row>
    <row r="2" spans="1:12" ht="42" customHeight="1">
      <c r="A2" s="29" t="s">
        <v>880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</row>
    <row r="3" spans="1:12" ht="15.75">
      <c r="A3" s="28" t="s">
        <v>2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</row>
    <row r="4" spans="1:12" ht="15.75">
      <c r="A4" s="7" t="s">
        <v>87</v>
      </c>
    </row>
    <row r="5" spans="1:12" ht="27.95" customHeight="1">
      <c r="A5" s="1" t="s">
        <v>88</v>
      </c>
      <c r="B5" s="1" t="s">
        <v>881</v>
      </c>
      <c r="C5" s="1" t="s">
        <v>344</v>
      </c>
      <c r="D5" s="1" t="s">
        <v>882</v>
      </c>
      <c r="E5" s="1" t="s">
        <v>883</v>
      </c>
      <c r="F5" s="1" t="s">
        <v>884</v>
      </c>
      <c r="G5" s="1" t="s">
        <v>885</v>
      </c>
      <c r="H5" s="1" t="s">
        <v>886</v>
      </c>
      <c r="I5" s="1" t="s">
        <v>887</v>
      </c>
      <c r="J5" s="1" t="s">
        <v>888</v>
      </c>
      <c r="K5" s="1" t="s">
        <v>889</v>
      </c>
      <c r="L5" s="1" t="s">
        <v>890</v>
      </c>
    </row>
    <row r="6" spans="1:12" ht="39.950000000000003" customHeight="1">
      <c r="A6" s="2" t="s">
        <v>891</v>
      </c>
      <c r="B6" s="8" t="s">
        <v>892</v>
      </c>
      <c r="C6" s="8"/>
      <c r="D6" s="8"/>
      <c r="E6" s="8"/>
      <c r="F6" s="8"/>
      <c r="G6" s="8"/>
      <c r="H6" s="8"/>
      <c r="I6" s="8"/>
      <c r="J6" s="10" t="str">
        <f t="shared" ref="J6:J25" si="0">IF(OR(D6="",E6=""),"",IF(E6&gt;0,F6/E6,""))</f>
        <v/>
      </c>
      <c r="K6" s="8" t="s">
        <v>893</v>
      </c>
      <c r="L6" s="8" t="s">
        <v>894</v>
      </c>
    </row>
    <row r="7" spans="1:12" ht="39.950000000000003" customHeight="1">
      <c r="A7" s="4" t="s">
        <v>895</v>
      </c>
      <c r="B7" s="9"/>
      <c r="C7" s="9"/>
      <c r="D7" s="9"/>
      <c r="E7" s="9"/>
      <c r="F7" s="9"/>
      <c r="G7" s="9"/>
      <c r="H7" s="9"/>
      <c r="I7" s="9"/>
      <c r="J7" s="11" t="str">
        <f t="shared" si="0"/>
        <v/>
      </c>
      <c r="K7" s="9"/>
      <c r="L7" s="9"/>
    </row>
    <row r="8" spans="1:12" ht="39.950000000000003" customHeight="1">
      <c r="A8" s="2" t="s">
        <v>896</v>
      </c>
      <c r="B8" s="8"/>
      <c r="C8" s="8"/>
      <c r="D8" s="8"/>
      <c r="E8" s="8"/>
      <c r="F8" s="8"/>
      <c r="G8" s="8"/>
      <c r="H8" s="8"/>
      <c r="I8" s="8"/>
      <c r="J8" s="10" t="str">
        <f t="shared" si="0"/>
        <v/>
      </c>
      <c r="K8" s="8"/>
      <c r="L8" s="8"/>
    </row>
    <row r="9" spans="1:12" ht="39.950000000000003" customHeight="1">
      <c r="A9" s="4" t="s">
        <v>897</v>
      </c>
      <c r="B9" s="9"/>
      <c r="C9" s="9"/>
      <c r="D9" s="9"/>
      <c r="E9" s="9"/>
      <c r="F9" s="9"/>
      <c r="G9" s="9"/>
      <c r="H9" s="9"/>
      <c r="I9" s="9"/>
      <c r="J9" s="11" t="str">
        <f t="shared" si="0"/>
        <v/>
      </c>
      <c r="K9" s="9"/>
      <c r="L9" s="9"/>
    </row>
    <row r="10" spans="1:12" ht="54.95" customHeight="1">
      <c r="A10" s="2" t="s">
        <v>898</v>
      </c>
      <c r="B10" s="8"/>
      <c r="C10" s="8"/>
      <c r="D10" s="8"/>
      <c r="E10" s="8"/>
      <c r="F10" s="8"/>
      <c r="G10" s="8"/>
      <c r="H10" s="8"/>
      <c r="I10" s="8"/>
      <c r="J10" s="10" t="str">
        <f t="shared" si="0"/>
        <v/>
      </c>
      <c r="K10" s="8"/>
      <c r="L10" s="8"/>
    </row>
    <row r="11" spans="1:12" ht="54.95" customHeight="1">
      <c r="A11" s="4" t="s">
        <v>899</v>
      </c>
      <c r="B11" s="9"/>
      <c r="C11" s="9"/>
      <c r="D11" s="9"/>
      <c r="E11" s="9"/>
      <c r="F11" s="9"/>
      <c r="G11" s="9"/>
      <c r="H11" s="9"/>
      <c r="I11" s="9"/>
      <c r="J11" s="11" t="str">
        <f t="shared" si="0"/>
        <v/>
      </c>
      <c r="K11" s="9"/>
      <c r="L11" s="9"/>
    </row>
    <row r="12" spans="1:12" ht="54.95" customHeight="1">
      <c r="A12" s="2" t="s">
        <v>900</v>
      </c>
      <c r="B12" s="8"/>
      <c r="C12" s="8"/>
      <c r="D12" s="8"/>
      <c r="E12" s="8"/>
      <c r="F12" s="8"/>
      <c r="G12" s="8"/>
      <c r="H12" s="8"/>
      <c r="I12" s="8"/>
      <c r="J12" s="10" t="str">
        <f t="shared" si="0"/>
        <v/>
      </c>
      <c r="K12" s="8"/>
      <c r="L12" s="8"/>
    </row>
    <row r="13" spans="1:12" ht="54.95" customHeight="1">
      <c r="A13" s="4" t="s">
        <v>901</v>
      </c>
      <c r="B13" s="9"/>
      <c r="C13" s="9"/>
      <c r="D13" s="9"/>
      <c r="E13" s="9"/>
      <c r="F13" s="9"/>
      <c r="G13" s="9"/>
      <c r="H13" s="9"/>
      <c r="I13" s="9"/>
      <c r="J13" s="11" t="str">
        <f t="shared" si="0"/>
        <v/>
      </c>
      <c r="K13" s="9"/>
      <c r="L13" s="9"/>
    </row>
    <row r="14" spans="1:12" ht="54.95" customHeight="1">
      <c r="A14" s="2" t="s">
        <v>902</v>
      </c>
      <c r="B14" s="8"/>
      <c r="C14" s="8"/>
      <c r="D14" s="8"/>
      <c r="E14" s="8"/>
      <c r="F14" s="8"/>
      <c r="G14" s="8"/>
      <c r="H14" s="8"/>
      <c r="I14" s="8"/>
      <c r="J14" s="10" t="str">
        <f t="shared" si="0"/>
        <v/>
      </c>
      <c r="K14" s="8"/>
      <c r="L14" s="8"/>
    </row>
    <row r="15" spans="1:12" ht="54.95" customHeight="1">
      <c r="A15" s="4" t="s">
        <v>903</v>
      </c>
      <c r="B15" s="9"/>
      <c r="C15" s="9"/>
      <c r="D15" s="9"/>
      <c r="E15" s="9"/>
      <c r="F15" s="9"/>
      <c r="G15" s="9"/>
      <c r="H15" s="9"/>
      <c r="I15" s="9"/>
      <c r="J15" s="11" t="str">
        <f t="shared" si="0"/>
        <v/>
      </c>
      <c r="K15" s="9"/>
      <c r="L15" s="9"/>
    </row>
    <row r="16" spans="1:12" ht="54.95" customHeight="1">
      <c r="A16" s="2" t="s">
        <v>904</v>
      </c>
      <c r="B16" s="8"/>
      <c r="C16" s="8"/>
      <c r="D16" s="8"/>
      <c r="E16" s="8"/>
      <c r="F16" s="8"/>
      <c r="G16" s="8"/>
      <c r="H16" s="8"/>
      <c r="I16" s="8"/>
      <c r="J16" s="10" t="str">
        <f t="shared" si="0"/>
        <v/>
      </c>
      <c r="K16" s="8"/>
      <c r="L16" s="8"/>
    </row>
    <row r="17" spans="1:12" ht="54.95" customHeight="1">
      <c r="A17" s="4" t="s">
        <v>905</v>
      </c>
      <c r="B17" s="9"/>
      <c r="C17" s="9"/>
      <c r="D17" s="9"/>
      <c r="E17" s="9"/>
      <c r="F17" s="9"/>
      <c r="G17" s="9"/>
      <c r="H17" s="9"/>
      <c r="I17" s="9"/>
      <c r="J17" s="11" t="str">
        <f t="shared" si="0"/>
        <v/>
      </c>
      <c r="K17" s="9"/>
      <c r="L17" s="9"/>
    </row>
    <row r="18" spans="1:12" ht="54.95" customHeight="1">
      <c r="A18" s="2" t="s">
        <v>906</v>
      </c>
      <c r="B18" s="8"/>
      <c r="C18" s="8"/>
      <c r="D18" s="8"/>
      <c r="E18" s="8"/>
      <c r="F18" s="8"/>
      <c r="G18" s="8"/>
      <c r="H18" s="8"/>
      <c r="I18" s="8"/>
      <c r="J18" s="10" t="str">
        <f t="shared" si="0"/>
        <v/>
      </c>
      <c r="K18" s="8"/>
      <c r="L18" s="8"/>
    </row>
    <row r="19" spans="1:12" ht="54.95" customHeight="1">
      <c r="A19" s="4" t="s">
        <v>907</v>
      </c>
      <c r="B19" s="9"/>
      <c r="C19" s="9"/>
      <c r="D19" s="9"/>
      <c r="E19" s="9"/>
      <c r="F19" s="9"/>
      <c r="G19" s="9"/>
      <c r="H19" s="9"/>
      <c r="I19" s="9"/>
      <c r="J19" s="11" t="str">
        <f t="shared" si="0"/>
        <v/>
      </c>
      <c r="K19" s="9"/>
      <c r="L19" s="9"/>
    </row>
    <row r="20" spans="1:12" ht="54.95" customHeight="1">
      <c r="A20" s="2" t="s">
        <v>908</v>
      </c>
      <c r="B20" s="8"/>
      <c r="C20" s="8"/>
      <c r="D20" s="8"/>
      <c r="E20" s="8"/>
      <c r="F20" s="8"/>
      <c r="G20" s="8"/>
      <c r="H20" s="8"/>
      <c r="I20" s="8"/>
      <c r="J20" s="10" t="str">
        <f t="shared" si="0"/>
        <v/>
      </c>
      <c r="K20" s="8"/>
      <c r="L20" s="8"/>
    </row>
    <row r="21" spans="1:12" ht="54.95" customHeight="1">
      <c r="A21" s="4" t="s">
        <v>909</v>
      </c>
      <c r="B21" s="9"/>
      <c r="C21" s="9"/>
      <c r="D21" s="9"/>
      <c r="E21" s="9"/>
      <c r="F21" s="9"/>
      <c r="G21" s="9"/>
      <c r="H21" s="9"/>
      <c r="I21" s="9"/>
      <c r="J21" s="11" t="str">
        <f t="shared" si="0"/>
        <v/>
      </c>
      <c r="K21" s="9"/>
      <c r="L21" s="9"/>
    </row>
    <row r="22" spans="1:12" ht="54.95" customHeight="1">
      <c r="A22" s="2" t="s">
        <v>910</v>
      </c>
      <c r="B22" s="8"/>
      <c r="C22" s="8"/>
      <c r="D22" s="8"/>
      <c r="E22" s="8"/>
      <c r="F22" s="8"/>
      <c r="G22" s="8"/>
      <c r="H22" s="8"/>
      <c r="I22" s="8"/>
      <c r="J22" s="10" t="str">
        <f t="shared" si="0"/>
        <v/>
      </c>
      <c r="K22" s="8"/>
      <c r="L22" s="8"/>
    </row>
    <row r="23" spans="1:12" ht="54.95" customHeight="1">
      <c r="A23" s="4" t="s">
        <v>911</v>
      </c>
      <c r="B23" s="9"/>
      <c r="C23" s="9"/>
      <c r="D23" s="9"/>
      <c r="E23" s="9"/>
      <c r="F23" s="9"/>
      <c r="G23" s="9"/>
      <c r="H23" s="9"/>
      <c r="I23" s="9"/>
      <c r="J23" s="11" t="str">
        <f t="shared" si="0"/>
        <v/>
      </c>
      <c r="K23" s="9"/>
      <c r="L23" s="9"/>
    </row>
    <row r="24" spans="1:12" ht="54.95" customHeight="1">
      <c r="A24" s="2" t="s">
        <v>912</v>
      </c>
      <c r="B24" s="8"/>
      <c r="C24" s="8"/>
      <c r="D24" s="8"/>
      <c r="E24" s="8"/>
      <c r="F24" s="8"/>
      <c r="G24" s="8"/>
      <c r="H24" s="8"/>
      <c r="I24" s="8"/>
      <c r="J24" s="10" t="str">
        <f t="shared" si="0"/>
        <v/>
      </c>
      <c r="K24" s="8"/>
      <c r="L24" s="8"/>
    </row>
    <row r="25" spans="1:12" ht="54.95" customHeight="1">
      <c r="A25" s="4" t="s">
        <v>913</v>
      </c>
      <c r="B25" s="9"/>
      <c r="C25" s="9"/>
      <c r="D25" s="9"/>
      <c r="E25" s="9"/>
      <c r="F25" s="9"/>
      <c r="G25" s="9"/>
      <c r="H25" s="9"/>
      <c r="I25" s="9"/>
      <c r="J25" s="11" t="str">
        <f t="shared" si="0"/>
        <v/>
      </c>
      <c r="K25" s="9"/>
      <c r="L25" s="9"/>
    </row>
  </sheetData>
  <autoFilter ref="A5:L25" xr:uid="{00000000-0001-0000-0A00-000000000000}"/>
  <mergeCells count="3">
    <mergeCell ref="A3:L3"/>
    <mergeCell ref="A2:L2"/>
    <mergeCell ref="A1:L1"/>
  </mergeCells>
  <phoneticPr fontId="15" type="noConversion"/>
  <dataValidations count="3">
    <dataValidation type="list" sqref="C6:C25" xr:uid="{00000000-0002-0000-0A00-000000000000}">
      <formula1>"胜利,超时失败,复活耗尽,中断"</formula1>
    </dataValidation>
    <dataValidation type="decimal" operator="greaterThanOrEqual" sqref="D6:D25" xr:uid="{00000000-0002-0000-0A00-000001000000}">
      <formula1>0</formula1>
    </dataValidation>
    <dataValidation type="whole" operator="greaterThanOrEqual" sqref="E6:G25" xr:uid="{00000000-0002-0000-0A00-000002000000}">
      <formula1>0</formula1>
    </dataValidation>
  </dataValidations>
  <hyperlinks>
    <hyperlink ref="A4" location="'00_阅读说明'!A1" display="返回目录" xr:uid="{00000000-0004-0000-0A00-000000000000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147D92"/>
  </sheetPr>
  <dimension ref="A1:F57"/>
  <sheetViews>
    <sheetView showGridLines="0" workbookViewId="0">
      <pane xSplit="1" ySplit="5" topLeftCell="B44" activePane="bottomRight" state="frozen"/>
      <selection pane="topRight"/>
      <selection pane="bottomLeft"/>
      <selection pane="bottomRight" activeCell="A57" sqref="A57:F57"/>
    </sheetView>
  </sheetViews>
  <sheetFormatPr defaultRowHeight="15"/>
  <cols>
    <col min="1" max="1" width="12" customWidth="1"/>
    <col min="2" max="2" width="37" customWidth="1"/>
    <col min="3" max="3" width="22" customWidth="1"/>
    <col min="4" max="4" width="24" customWidth="1"/>
    <col min="5" max="5" width="31" customWidth="1"/>
    <col min="6" max="6" width="91" customWidth="1"/>
  </cols>
  <sheetData>
    <row r="1" spans="1:6" ht="42" customHeight="1">
      <c r="A1" s="27" t="s">
        <v>82</v>
      </c>
      <c r="B1" s="26"/>
      <c r="C1" s="26"/>
      <c r="D1" s="26"/>
      <c r="E1" s="26"/>
      <c r="F1" s="26"/>
    </row>
    <row r="2" spans="1:6" ht="42" customHeight="1">
      <c r="A2" s="29" t="s">
        <v>914</v>
      </c>
      <c r="B2" s="26"/>
      <c r="C2" s="26"/>
      <c r="D2" s="26"/>
      <c r="E2" s="26"/>
      <c r="F2" s="26"/>
    </row>
    <row r="3" spans="1:6" ht="15.75">
      <c r="A3" s="28" t="s">
        <v>2</v>
      </c>
      <c r="B3" s="26"/>
      <c r="C3" s="26"/>
      <c r="D3" s="26"/>
      <c r="E3" s="26"/>
      <c r="F3" s="26"/>
    </row>
    <row r="4" spans="1:6" ht="15.75">
      <c r="A4" s="7" t="s">
        <v>87</v>
      </c>
    </row>
    <row r="5" spans="1:6" ht="27.95" customHeight="1">
      <c r="A5" s="1" t="s">
        <v>88</v>
      </c>
      <c r="B5" s="1" t="s">
        <v>915</v>
      </c>
      <c r="C5" s="1" t="s">
        <v>916</v>
      </c>
      <c r="D5" s="1" t="s">
        <v>917</v>
      </c>
      <c r="E5" s="1" t="s">
        <v>918</v>
      </c>
      <c r="F5" s="1" t="s">
        <v>919</v>
      </c>
    </row>
    <row r="6" spans="1:6" ht="32.1" customHeight="1">
      <c r="A6" s="2" t="s">
        <v>920</v>
      </c>
      <c r="B6" s="3" t="s">
        <v>921</v>
      </c>
      <c r="C6" s="12">
        <v>1</v>
      </c>
      <c r="D6" s="3" t="s">
        <v>922</v>
      </c>
      <c r="E6" s="3" t="s">
        <v>923</v>
      </c>
      <c r="F6" s="3" t="s">
        <v>924</v>
      </c>
    </row>
    <row r="7" spans="1:6" ht="32.1" customHeight="1">
      <c r="A7" s="4" t="s">
        <v>925</v>
      </c>
      <c r="B7" s="5" t="s">
        <v>926</v>
      </c>
      <c r="C7" s="13">
        <v>2</v>
      </c>
      <c r="D7" s="5" t="s">
        <v>927</v>
      </c>
      <c r="E7" s="5" t="s">
        <v>10</v>
      </c>
      <c r="F7" s="5" t="s">
        <v>928</v>
      </c>
    </row>
    <row r="8" spans="1:6" ht="32.1" customHeight="1">
      <c r="A8" s="2" t="s">
        <v>929</v>
      </c>
      <c r="B8" s="3" t="s">
        <v>930</v>
      </c>
      <c r="C8" s="14">
        <f>C6*C7</f>
        <v>2</v>
      </c>
      <c r="D8" s="3" t="s">
        <v>931</v>
      </c>
      <c r="E8" s="3" t="s">
        <v>932</v>
      </c>
      <c r="F8" s="3" t="s">
        <v>933</v>
      </c>
    </row>
    <row r="9" spans="1:6" ht="32.1" customHeight="1">
      <c r="A9" s="4" t="s">
        <v>934</v>
      </c>
      <c r="B9" s="5" t="s">
        <v>935</v>
      </c>
      <c r="C9" s="13">
        <v>1</v>
      </c>
      <c r="D9" s="5" t="s">
        <v>936</v>
      </c>
      <c r="E9" s="5" t="s">
        <v>10</v>
      </c>
      <c r="F9" s="5" t="s">
        <v>937</v>
      </c>
    </row>
    <row r="10" spans="1:6" ht="32.1" customHeight="1">
      <c r="A10" s="2" t="s">
        <v>938</v>
      </c>
      <c r="B10" s="3" t="s">
        <v>939</v>
      </c>
      <c r="C10" s="12">
        <v>2</v>
      </c>
      <c r="D10" s="3" t="s">
        <v>936</v>
      </c>
      <c r="E10" s="3" t="s">
        <v>10</v>
      </c>
      <c r="F10" s="3" t="s">
        <v>940</v>
      </c>
    </row>
    <row r="11" spans="1:6" ht="32.1" customHeight="1">
      <c r="A11" s="4" t="s">
        <v>941</v>
      </c>
      <c r="B11" s="5" t="s">
        <v>942</v>
      </c>
      <c r="C11" s="13">
        <v>2</v>
      </c>
      <c r="D11" s="5" t="s">
        <v>943</v>
      </c>
      <c r="E11" s="5" t="s">
        <v>10</v>
      </c>
      <c r="F11" s="5" t="s">
        <v>944</v>
      </c>
    </row>
    <row r="12" spans="1:6" ht="32.1" customHeight="1">
      <c r="A12" s="2" t="s">
        <v>945</v>
      </c>
      <c r="B12" s="3" t="s">
        <v>946</v>
      </c>
      <c r="C12" s="15">
        <v>100</v>
      </c>
      <c r="D12" s="3" t="s">
        <v>947</v>
      </c>
      <c r="E12" s="3" t="s">
        <v>948</v>
      </c>
      <c r="F12" s="3" t="s">
        <v>949</v>
      </c>
    </row>
    <row r="13" spans="1:6" ht="32.1" customHeight="1">
      <c r="A13" s="4" t="s">
        <v>950</v>
      </c>
      <c r="B13" s="5" t="s">
        <v>951</v>
      </c>
      <c r="C13" s="16">
        <v>100</v>
      </c>
      <c r="D13" s="5" t="s">
        <v>121</v>
      </c>
      <c r="E13" s="5" t="s">
        <v>948</v>
      </c>
      <c r="F13" s="5" t="s">
        <v>952</v>
      </c>
    </row>
    <row r="14" spans="1:6" ht="32.1" customHeight="1">
      <c r="A14" s="2" t="s">
        <v>953</v>
      </c>
      <c r="B14" s="3" t="s">
        <v>954</v>
      </c>
      <c r="C14" s="17">
        <v>5.5</v>
      </c>
      <c r="D14" s="3" t="s">
        <v>955</v>
      </c>
      <c r="E14" s="3" t="s">
        <v>948</v>
      </c>
      <c r="F14" s="3" t="s">
        <v>956</v>
      </c>
    </row>
    <row r="15" spans="1:6" ht="32.1" customHeight="1">
      <c r="A15" s="4" t="s">
        <v>957</v>
      </c>
      <c r="B15" s="5" t="s">
        <v>958</v>
      </c>
      <c r="C15" s="16">
        <v>25</v>
      </c>
      <c r="D15" s="5" t="s">
        <v>121</v>
      </c>
      <c r="E15" s="5" t="s">
        <v>948</v>
      </c>
      <c r="F15" s="5" t="s">
        <v>959</v>
      </c>
    </row>
    <row r="16" spans="1:6" ht="32.1" customHeight="1">
      <c r="A16" s="2" t="s">
        <v>960</v>
      </c>
      <c r="B16" s="3" t="s">
        <v>961</v>
      </c>
      <c r="C16" s="17">
        <v>0.55000000000000004</v>
      </c>
      <c r="D16" s="3" t="s">
        <v>962</v>
      </c>
      <c r="E16" s="3" t="s">
        <v>948</v>
      </c>
      <c r="F16" s="3" t="s">
        <v>963</v>
      </c>
    </row>
    <row r="17" spans="1:6" ht="32.1" customHeight="1">
      <c r="A17" s="4" t="s">
        <v>964</v>
      </c>
      <c r="B17" s="5" t="s">
        <v>965</v>
      </c>
      <c r="C17" s="18">
        <v>0.08</v>
      </c>
      <c r="D17" s="5" t="s">
        <v>962</v>
      </c>
      <c r="E17" s="5" t="s">
        <v>948</v>
      </c>
      <c r="F17" s="5" t="s">
        <v>966</v>
      </c>
    </row>
    <row r="18" spans="1:6" ht="32.1" customHeight="1">
      <c r="A18" s="2" t="s">
        <v>967</v>
      </c>
      <c r="B18" s="3" t="s">
        <v>968</v>
      </c>
      <c r="C18" s="17">
        <v>0.28000000000000003</v>
      </c>
      <c r="D18" s="3" t="s">
        <v>962</v>
      </c>
      <c r="E18" s="3" t="s">
        <v>948</v>
      </c>
      <c r="F18" s="3" t="s">
        <v>969</v>
      </c>
    </row>
    <row r="19" spans="1:6" ht="32.1" customHeight="1">
      <c r="A19" s="4" t="s">
        <v>970</v>
      </c>
      <c r="B19" s="5" t="s">
        <v>971</v>
      </c>
      <c r="C19" s="19">
        <f>C18-C17</f>
        <v>0.2</v>
      </c>
      <c r="D19" s="5" t="s">
        <v>962</v>
      </c>
      <c r="E19" s="5" t="s">
        <v>932</v>
      </c>
      <c r="F19" s="5" t="s">
        <v>972</v>
      </c>
    </row>
    <row r="20" spans="1:6" ht="32.1" customHeight="1">
      <c r="A20" s="2" t="s">
        <v>973</v>
      </c>
      <c r="B20" s="3" t="s">
        <v>974</v>
      </c>
      <c r="C20" s="17">
        <v>0.7</v>
      </c>
      <c r="D20" s="3" t="s">
        <v>962</v>
      </c>
      <c r="E20" s="3" t="s">
        <v>948</v>
      </c>
      <c r="F20" s="3" t="s">
        <v>975</v>
      </c>
    </row>
    <row r="21" spans="1:6" ht="32.1" customHeight="1">
      <c r="A21" s="4" t="s">
        <v>976</v>
      </c>
      <c r="B21" s="5" t="s">
        <v>977</v>
      </c>
      <c r="C21" s="16">
        <v>25</v>
      </c>
      <c r="D21" s="5" t="s">
        <v>978</v>
      </c>
      <c r="E21" s="5" t="s">
        <v>948</v>
      </c>
      <c r="F21" s="5" t="s">
        <v>979</v>
      </c>
    </row>
    <row r="22" spans="1:6" ht="32.1" customHeight="1">
      <c r="A22" s="2" t="s">
        <v>980</v>
      </c>
      <c r="B22" s="3" t="s">
        <v>981</v>
      </c>
      <c r="C22" s="14">
        <f>INT(C13/C15)</f>
        <v>4</v>
      </c>
      <c r="D22" s="3" t="s">
        <v>943</v>
      </c>
      <c r="E22" s="3" t="s">
        <v>932</v>
      </c>
      <c r="F22" s="3" t="s">
        <v>982</v>
      </c>
    </row>
    <row r="23" spans="1:6" ht="32.1" customHeight="1">
      <c r="A23" s="4" t="s">
        <v>983</v>
      </c>
      <c r="B23" s="5" t="s">
        <v>984</v>
      </c>
      <c r="C23" s="16">
        <v>22</v>
      </c>
      <c r="D23" s="5" t="s">
        <v>947</v>
      </c>
      <c r="E23" s="5" t="s">
        <v>948</v>
      </c>
      <c r="F23" s="5" t="s">
        <v>985</v>
      </c>
    </row>
    <row r="24" spans="1:6" ht="32.1" customHeight="1">
      <c r="A24" s="2" t="s">
        <v>986</v>
      </c>
      <c r="B24" s="3" t="s">
        <v>987</v>
      </c>
      <c r="C24" s="17">
        <v>0.25</v>
      </c>
      <c r="D24" s="3" t="s">
        <v>962</v>
      </c>
      <c r="E24" s="3" t="s">
        <v>948</v>
      </c>
      <c r="F24" s="3" t="s">
        <v>988</v>
      </c>
    </row>
    <row r="25" spans="1:6" ht="32.1" customHeight="1">
      <c r="A25" s="4" t="s">
        <v>989</v>
      </c>
      <c r="B25" s="5" t="s">
        <v>990</v>
      </c>
      <c r="C25" s="18">
        <v>0.12</v>
      </c>
      <c r="D25" s="5" t="s">
        <v>962</v>
      </c>
      <c r="E25" s="5" t="s">
        <v>948</v>
      </c>
      <c r="F25" s="5" t="s">
        <v>991</v>
      </c>
    </row>
    <row r="26" spans="1:6" ht="32.1" customHeight="1">
      <c r="A26" s="2" t="s">
        <v>992</v>
      </c>
      <c r="B26" s="3" t="s">
        <v>993</v>
      </c>
      <c r="C26" s="17">
        <v>0.38</v>
      </c>
      <c r="D26" s="3" t="s">
        <v>962</v>
      </c>
      <c r="E26" s="3" t="s">
        <v>948</v>
      </c>
      <c r="F26" s="3" t="s">
        <v>994</v>
      </c>
    </row>
    <row r="27" spans="1:6" ht="32.1" customHeight="1">
      <c r="A27" s="4" t="s">
        <v>995</v>
      </c>
      <c r="B27" s="5" t="s">
        <v>996</v>
      </c>
      <c r="C27" s="19">
        <f>SUM(C24:C26)</f>
        <v>0.75</v>
      </c>
      <c r="D27" s="5" t="s">
        <v>962</v>
      </c>
      <c r="E27" s="5" t="s">
        <v>932</v>
      </c>
      <c r="F27" s="5" t="s">
        <v>997</v>
      </c>
    </row>
    <row r="28" spans="1:6" ht="32.1" customHeight="1">
      <c r="A28" s="2" t="s">
        <v>998</v>
      </c>
      <c r="B28" s="3" t="s">
        <v>999</v>
      </c>
      <c r="C28" s="15">
        <v>48</v>
      </c>
      <c r="D28" s="3" t="s">
        <v>947</v>
      </c>
      <c r="E28" s="3" t="s">
        <v>948</v>
      </c>
      <c r="F28" s="3" t="s">
        <v>1000</v>
      </c>
    </row>
    <row r="29" spans="1:6" ht="32.1" customHeight="1">
      <c r="A29" s="4" t="s">
        <v>1001</v>
      </c>
      <c r="B29" s="5" t="s">
        <v>1002</v>
      </c>
      <c r="C29" s="16">
        <v>20</v>
      </c>
      <c r="D29" s="5" t="s">
        <v>121</v>
      </c>
      <c r="E29" s="5" t="s">
        <v>948</v>
      </c>
      <c r="F29" s="5" t="s">
        <v>1003</v>
      </c>
    </row>
    <row r="30" spans="1:6" ht="32.1" customHeight="1">
      <c r="A30" s="2" t="s">
        <v>1004</v>
      </c>
      <c r="B30" s="3" t="s">
        <v>1005</v>
      </c>
      <c r="C30" s="17">
        <v>0.6</v>
      </c>
      <c r="D30" s="3" t="s">
        <v>962</v>
      </c>
      <c r="E30" s="3" t="s">
        <v>948</v>
      </c>
      <c r="F30" s="3" t="s">
        <v>1006</v>
      </c>
    </row>
    <row r="31" spans="1:6" ht="32.1" customHeight="1">
      <c r="A31" s="4" t="s">
        <v>1007</v>
      </c>
      <c r="B31" s="5" t="s">
        <v>1008</v>
      </c>
      <c r="C31" s="18">
        <v>0.18</v>
      </c>
      <c r="D31" s="5" t="s">
        <v>962</v>
      </c>
      <c r="E31" s="5" t="s">
        <v>948</v>
      </c>
      <c r="F31" s="5" t="s">
        <v>1009</v>
      </c>
    </row>
    <row r="32" spans="1:6" ht="32.1" customHeight="1">
      <c r="A32" s="2" t="s">
        <v>1010</v>
      </c>
      <c r="B32" s="3" t="s">
        <v>1011</v>
      </c>
      <c r="C32" s="17">
        <v>0.6</v>
      </c>
      <c r="D32" s="3" t="s">
        <v>962</v>
      </c>
      <c r="E32" s="3" t="s">
        <v>948</v>
      </c>
      <c r="F32" s="3" t="s">
        <v>1012</v>
      </c>
    </row>
    <row r="33" spans="1:6" ht="32.1" customHeight="1">
      <c r="A33" s="4" t="s">
        <v>1013</v>
      </c>
      <c r="B33" s="5" t="s">
        <v>1014</v>
      </c>
      <c r="C33" s="19">
        <f>SUM(C30:C32)</f>
        <v>1.38</v>
      </c>
      <c r="D33" s="5" t="s">
        <v>962</v>
      </c>
      <c r="E33" s="5" t="s">
        <v>932</v>
      </c>
      <c r="F33" s="5" t="s">
        <v>997</v>
      </c>
    </row>
    <row r="34" spans="1:6" ht="32.1" customHeight="1">
      <c r="A34" s="2" t="s">
        <v>1015</v>
      </c>
      <c r="B34" s="3" t="s">
        <v>1016</v>
      </c>
      <c r="C34" s="15">
        <v>600</v>
      </c>
      <c r="D34" s="3" t="s">
        <v>947</v>
      </c>
      <c r="E34" s="3" t="s">
        <v>948</v>
      </c>
      <c r="F34" s="3" t="s">
        <v>1017</v>
      </c>
    </row>
    <row r="35" spans="1:6" ht="32.1" customHeight="1">
      <c r="A35" s="4" t="s">
        <v>1018</v>
      </c>
      <c r="B35" s="5" t="s">
        <v>1019</v>
      </c>
      <c r="C35" s="16">
        <v>180</v>
      </c>
      <c r="D35" s="5" t="s">
        <v>962</v>
      </c>
      <c r="E35" s="5" t="s">
        <v>948</v>
      </c>
      <c r="F35" s="5" t="s">
        <v>1020</v>
      </c>
    </row>
    <row r="36" spans="1:6" ht="32.1" customHeight="1">
      <c r="A36" s="2" t="s">
        <v>1021</v>
      </c>
      <c r="B36" s="3" t="s">
        <v>1022</v>
      </c>
      <c r="C36" s="15">
        <v>30</v>
      </c>
      <c r="D36" s="3" t="s">
        <v>947</v>
      </c>
      <c r="E36" s="3" t="s">
        <v>948</v>
      </c>
      <c r="F36" s="3" t="s">
        <v>1023</v>
      </c>
    </row>
    <row r="37" spans="1:6" ht="32.1" customHeight="1">
      <c r="A37" s="4" t="s">
        <v>1024</v>
      </c>
      <c r="B37" s="5" t="s">
        <v>1025</v>
      </c>
      <c r="C37" s="16">
        <v>50</v>
      </c>
      <c r="D37" s="5" t="s">
        <v>121</v>
      </c>
      <c r="E37" s="5" t="s">
        <v>948</v>
      </c>
      <c r="F37" s="5" t="s">
        <v>1026</v>
      </c>
    </row>
    <row r="38" spans="1:6" ht="32.1" customHeight="1">
      <c r="A38" s="2" t="s">
        <v>1027</v>
      </c>
      <c r="B38" s="3" t="s">
        <v>1028</v>
      </c>
      <c r="C38" s="20">
        <v>0.5</v>
      </c>
      <c r="D38" s="3" t="s">
        <v>1029</v>
      </c>
      <c r="E38" s="3" t="s">
        <v>948</v>
      </c>
      <c r="F38" s="3" t="s">
        <v>1030</v>
      </c>
    </row>
    <row r="39" spans="1:6" ht="32.1" customHeight="1">
      <c r="A39" s="4" t="s">
        <v>1031</v>
      </c>
      <c r="B39" s="5" t="s">
        <v>1032</v>
      </c>
      <c r="C39" s="21">
        <f>C12*C38</f>
        <v>50</v>
      </c>
      <c r="D39" s="5" t="s">
        <v>947</v>
      </c>
      <c r="E39" s="5" t="s">
        <v>932</v>
      </c>
      <c r="F39" s="5" t="s">
        <v>1033</v>
      </c>
    </row>
    <row r="40" spans="1:6" ht="32.1" customHeight="1">
      <c r="A40" s="2" t="s">
        <v>1034</v>
      </c>
      <c r="B40" s="3" t="s">
        <v>1035</v>
      </c>
      <c r="C40" s="15">
        <v>3</v>
      </c>
      <c r="D40" s="3" t="s">
        <v>962</v>
      </c>
      <c r="E40" s="3" t="s">
        <v>1036</v>
      </c>
      <c r="F40" s="3" t="s">
        <v>1037</v>
      </c>
    </row>
    <row r="41" spans="1:6" ht="32.1" customHeight="1">
      <c r="A41" s="4" t="s">
        <v>1038</v>
      </c>
      <c r="B41" s="5" t="s">
        <v>1039</v>
      </c>
      <c r="C41" s="16">
        <v>20</v>
      </c>
      <c r="D41" s="5" t="s">
        <v>962</v>
      </c>
      <c r="E41" s="5" t="s">
        <v>1036</v>
      </c>
      <c r="F41" s="5" t="s">
        <v>1040</v>
      </c>
    </row>
    <row r="42" spans="1:6" ht="32.1" customHeight="1">
      <c r="A42" s="2" t="s">
        <v>1041</v>
      </c>
      <c r="B42" s="3" t="s">
        <v>1042</v>
      </c>
      <c r="C42" s="15">
        <v>2</v>
      </c>
      <c r="D42" s="3" t="s">
        <v>1043</v>
      </c>
      <c r="E42" s="3" t="s">
        <v>1036</v>
      </c>
      <c r="F42" s="3" t="s">
        <v>1044</v>
      </c>
    </row>
    <row r="43" spans="1:6" ht="39.950000000000003" customHeight="1">
      <c r="A43" s="4" t="s">
        <v>1045</v>
      </c>
      <c r="B43" s="5" t="s">
        <v>1046</v>
      </c>
      <c r="C43" s="21">
        <f>COUNTIF('08_开发任务'!B6:B24,"P0*")</f>
        <v>15</v>
      </c>
      <c r="D43" s="5" t="s">
        <v>1047</v>
      </c>
      <c r="E43" s="5" t="s">
        <v>932</v>
      </c>
      <c r="F43" s="5" t="s">
        <v>1048</v>
      </c>
    </row>
    <row r="44" spans="1:6" ht="69.95" customHeight="1">
      <c r="A44" s="2" t="s">
        <v>1049</v>
      </c>
      <c r="B44" s="3" t="s">
        <v>1050</v>
      </c>
      <c r="C44" s="14">
        <f>COUNTIFS('08_开发任务'!B6:B24,"P0*",'08_开发任务'!G6:G24,"完成")</f>
        <v>14</v>
      </c>
      <c r="D44" s="3" t="s">
        <v>1047</v>
      </c>
      <c r="E44" s="3" t="s">
        <v>932</v>
      </c>
      <c r="F44" s="3" t="s">
        <v>1051</v>
      </c>
    </row>
    <row r="45" spans="1:6" ht="39.950000000000003" customHeight="1">
      <c r="A45" s="4" t="s">
        <v>1052</v>
      </c>
      <c r="B45" s="5" t="s">
        <v>1053</v>
      </c>
      <c r="C45" s="22">
        <f>IF(C43=0,"",C44/C43)</f>
        <v>0.93333333333333335</v>
      </c>
      <c r="D45" s="5" t="s">
        <v>1029</v>
      </c>
      <c r="E45" s="5" t="s">
        <v>932</v>
      </c>
      <c r="F45" s="5" t="s">
        <v>1054</v>
      </c>
    </row>
    <row r="46" spans="1:6" ht="69.95" customHeight="1">
      <c r="A46" s="2" t="s">
        <v>1055</v>
      </c>
      <c r="B46" s="3" t="s">
        <v>1056</v>
      </c>
      <c r="C46" s="14">
        <f>COUNTIF('09_验收用例'!F6:F27,"通过")+COUNTIF('09_验收用例'!F6:F27,"失败")</f>
        <v>20</v>
      </c>
      <c r="D46" s="3" t="s">
        <v>1047</v>
      </c>
      <c r="E46" s="3" t="s">
        <v>932</v>
      </c>
      <c r="F46" s="3" t="s">
        <v>1057</v>
      </c>
    </row>
    <row r="47" spans="1:6" ht="39.950000000000003" customHeight="1">
      <c r="A47" s="4" t="s">
        <v>1058</v>
      </c>
      <c r="B47" s="5" t="s">
        <v>1059</v>
      </c>
      <c r="C47" s="21">
        <f>COUNTIF('09_验收用例'!F6:F27,"通过")</f>
        <v>20</v>
      </c>
      <c r="D47" s="5" t="s">
        <v>1047</v>
      </c>
      <c r="E47" s="5" t="s">
        <v>932</v>
      </c>
      <c r="F47" s="5" t="s">
        <v>1060</v>
      </c>
    </row>
    <row r="48" spans="1:6" ht="39.950000000000003" customHeight="1">
      <c r="A48" s="2" t="s">
        <v>1061</v>
      </c>
      <c r="B48" s="3" t="s">
        <v>1062</v>
      </c>
      <c r="C48" s="23">
        <f>IF(C46=0,"",C47/C46)</f>
        <v>1</v>
      </c>
      <c r="D48" s="3" t="s">
        <v>1029</v>
      </c>
      <c r="E48" s="3" t="s">
        <v>932</v>
      </c>
      <c r="F48" s="3" t="s">
        <v>1063</v>
      </c>
    </row>
    <row r="49" spans="1:6" ht="39.950000000000003" customHeight="1">
      <c r="A49" s="4" t="s">
        <v>1064</v>
      </c>
      <c r="B49" s="5" t="s">
        <v>1065</v>
      </c>
      <c r="C49" s="21">
        <f>COUNTIF('10_试玩记录'!C6:C25,"胜利")</f>
        <v>0</v>
      </c>
      <c r="D49" s="5" t="s">
        <v>943</v>
      </c>
      <c r="E49" s="5" t="s">
        <v>932</v>
      </c>
      <c r="F49" s="5" t="s">
        <v>1066</v>
      </c>
    </row>
    <row r="50" spans="1:6" ht="69.95" customHeight="1">
      <c r="A50" s="2" t="s">
        <v>1067</v>
      </c>
      <c r="B50" s="3" t="s">
        <v>1068</v>
      </c>
      <c r="C50" s="24" t="str">
        <f>IF(C49=0,"",AVERAGEIF('10_试玩记录'!C6:C25,"胜利",'10_试玩记录'!D6:D25))</f>
        <v/>
      </c>
      <c r="D50" s="3" t="s">
        <v>962</v>
      </c>
      <c r="E50" s="3" t="s">
        <v>932</v>
      </c>
      <c r="F50" s="3" t="s">
        <v>1069</v>
      </c>
    </row>
    <row r="51" spans="1:6" ht="39.950000000000003" customHeight="1">
      <c r="A51" s="2" t="s">
        <v>1070</v>
      </c>
      <c r="B51" s="3" t="s">
        <v>1071</v>
      </c>
      <c r="C51" s="15">
        <v>10</v>
      </c>
      <c r="D51" s="3" t="s">
        <v>121</v>
      </c>
      <c r="E51" s="3" t="s">
        <v>1072</v>
      </c>
      <c r="F51" s="3" t="s">
        <v>1073</v>
      </c>
    </row>
    <row r="52" spans="1:6" ht="39.950000000000003" customHeight="1">
      <c r="A52" s="2" t="s">
        <v>1074</v>
      </c>
      <c r="B52" s="3" t="s">
        <v>1075</v>
      </c>
      <c r="C52" s="17">
        <v>0.05</v>
      </c>
      <c r="D52" s="3" t="s">
        <v>962</v>
      </c>
      <c r="E52" s="3" t="s">
        <v>1076</v>
      </c>
      <c r="F52" s="3" t="s">
        <v>1077</v>
      </c>
    </row>
    <row r="53" spans="1:6" ht="39.950000000000003" customHeight="1">
      <c r="A53" s="2" t="s">
        <v>1078</v>
      </c>
      <c r="B53" s="3" t="s">
        <v>1079</v>
      </c>
      <c r="C53" s="17">
        <v>1.2</v>
      </c>
      <c r="D53" s="3" t="s">
        <v>962</v>
      </c>
      <c r="E53" s="3" t="s">
        <v>1080</v>
      </c>
      <c r="F53" s="3" t="s">
        <v>1081</v>
      </c>
    </row>
    <row r="54" spans="1:6" ht="39.950000000000003" customHeight="1">
      <c r="A54" s="2" t="s">
        <v>1082</v>
      </c>
      <c r="B54" s="3" t="s">
        <v>1083</v>
      </c>
      <c r="C54" s="17">
        <v>2</v>
      </c>
      <c r="D54" s="3" t="s">
        <v>962</v>
      </c>
      <c r="E54" s="3" t="s">
        <v>1080</v>
      </c>
      <c r="F54" s="3" t="s">
        <v>1084</v>
      </c>
    </row>
    <row r="55" spans="1:6" ht="39.950000000000003" customHeight="1">
      <c r="A55" s="2" t="s">
        <v>1085</v>
      </c>
      <c r="B55" s="3" t="s">
        <v>1086</v>
      </c>
      <c r="C55" s="15">
        <v>18</v>
      </c>
      <c r="D55" s="3" t="s">
        <v>962</v>
      </c>
      <c r="E55" s="3" t="s">
        <v>1080</v>
      </c>
      <c r="F55" s="3" t="s">
        <v>1087</v>
      </c>
    </row>
    <row r="56" spans="1:6" ht="39.950000000000003" customHeight="1">
      <c r="A56" s="2" t="s">
        <v>1088</v>
      </c>
      <c r="B56" s="3" t="s">
        <v>1089</v>
      </c>
      <c r="C56" s="15">
        <v>28</v>
      </c>
      <c r="D56" s="3" t="s">
        <v>962</v>
      </c>
      <c r="E56" s="3" t="s">
        <v>1080</v>
      </c>
      <c r="F56" s="3" t="s">
        <v>1090</v>
      </c>
    </row>
    <row r="57" spans="1:6" ht="39.950000000000003" customHeight="1">
      <c r="A57" s="2" t="s">
        <v>1091</v>
      </c>
      <c r="B57" s="3" t="s">
        <v>1092</v>
      </c>
      <c r="C57" s="15">
        <v>3</v>
      </c>
      <c r="D57" s="3" t="s">
        <v>1043</v>
      </c>
      <c r="E57" s="3" t="s">
        <v>1080</v>
      </c>
      <c r="F57" s="3" t="s">
        <v>1093</v>
      </c>
    </row>
  </sheetData>
  <autoFilter ref="A5:F57" xr:uid="{00000000-0001-0000-0B00-000000000000}"/>
  <mergeCells count="3">
    <mergeCell ref="A3:F3"/>
    <mergeCell ref="A2:F2"/>
    <mergeCell ref="A1:F1"/>
  </mergeCells>
  <phoneticPr fontId="15" type="noConversion"/>
  <hyperlinks>
    <hyperlink ref="A4" location="'00_阅读说明'!A1" display="返回目录" xr:uid="{00000000-0004-0000-0B00-000000000000}"/>
  </hyperlinks>
  <pageMargins left="0.7" right="0.7" top="0.75" bottom="0.75" header="0.3" footer="0.3"/>
  <pageSetup paperSize="9" orientation="portrait" r:id="rId1"/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147D92"/>
  </sheetPr>
  <dimension ref="A1:E29"/>
  <sheetViews>
    <sheetView showGridLines="0" workbookViewId="0">
      <pane xSplit="1" ySplit="5" topLeftCell="B6" activePane="bottomRight" state="frozenSplit"/>
      <selection pane="bottomLeft" activeCell="A6" sqref="A6"/>
      <selection pane="topRight" activeCell="B1" sqref="B1"/>
      <selection pane="bottomRight" activeCell="A29" sqref="A29:E29"/>
    </sheetView>
  </sheetViews>
  <sheetFormatPr defaultRowHeight="15"/>
  <cols>
    <col min="1" max="1" width="14" customWidth="1"/>
    <col min="2" max="2" width="35" customWidth="1"/>
    <col min="3" max="3" width="108" customWidth="1"/>
    <col min="4" max="4" width="42" customWidth="1"/>
    <col min="5" max="5" width="49" customWidth="1"/>
  </cols>
  <sheetData>
    <row r="1" spans="1:5" ht="42" customHeight="1">
      <c r="A1" s="27" t="s">
        <v>85</v>
      </c>
      <c r="B1" s="26"/>
      <c r="C1" s="26"/>
      <c r="D1" s="26"/>
      <c r="E1" s="26"/>
    </row>
    <row r="2" spans="1:5" ht="42" customHeight="1">
      <c r="A2" s="29" t="s">
        <v>1094</v>
      </c>
      <c r="B2" s="26"/>
      <c r="C2" s="26"/>
      <c r="D2" s="26"/>
      <c r="E2" s="26"/>
    </row>
    <row r="3" spans="1:5" ht="15.75">
      <c r="A3" s="28" t="s">
        <v>2</v>
      </c>
      <c r="B3" s="26"/>
      <c r="C3" s="26"/>
      <c r="D3" s="26"/>
      <c r="E3" s="26"/>
    </row>
    <row r="4" spans="1:5" ht="15.75">
      <c r="A4" s="7" t="s">
        <v>87</v>
      </c>
    </row>
    <row r="5" spans="1:5" ht="27.95" customHeight="1">
      <c r="A5" s="1" t="s">
        <v>88</v>
      </c>
      <c r="B5" s="1" t="s">
        <v>89</v>
      </c>
      <c r="C5" s="1" t="s">
        <v>1095</v>
      </c>
      <c r="D5" s="1" t="s">
        <v>91</v>
      </c>
      <c r="E5" s="1" t="s">
        <v>1096</v>
      </c>
    </row>
    <row r="6" spans="1:5" ht="32.1" customHeight="1">
      <c r="A6" s="2" t="s">
        <v>1097</v>
      </c>
      <c r="B6" s="3" t="s">
        <v>1098</v>
      </c>
      <c r="C6" s="3" t="s">
        <v>1099</v>
      </c>
      <c r="D6" s="3" t="s">
        <v>1100</v>
      </c>
      <c r="E6" s="3" t="s">
        <v>1101</v>
      </c>
    </row>
    <row r="7" spans="1:5" ht="32.1" customHeight="1">
      <c r="A7" s="4" t="s">
        <v>1102</v>
      </c>
      <c r="B7" s="5" t="s">
        <v>1103</v>
      </c>
      <c r="C7" s="5" t="s">
        <v>1104</v>
      </c>
      <c r="D7" s="5" t="s">
        <v>1100</v>
      </c>
      <c r="E7" s="5" t="s">
        <v>1101</v>
      </c>
    </row>
    <row r="8" spans="1:5" ht="32.1" customHeight="1">
      <c r="A8" s="2" t="s">
        <v>1105</v>
      </c>
      <c r="B8" s="3" t="s">
        <v>1106</v>
      </c>
      <c r="C8" s="3" t="s">
        <v>1107</v>
      </c>
      <c r="D8" s="3" t="s">
        <v>1100</v>
      </c>
      <c r="E8" s="3" t="s">
        <v>1108</v>
      </c>
    </row>
    <row r="9" spans="1:5" ht="32.1" customHeight="1">
      <c r="A9" s="4" t="s">
        <v>1109</v>
      </c>
      <c r="B9" s="5" t="s">
        <v>1110</v>
      </c>
      <c r="C9" s="5" t="s">
        <v>1111</v>
      </c>
      <c r="D9" s="5" t="s">
        <v>1112</v>
      </c>
      <c r="E9" s="5" t="s">
        <v>1113</v>
      </c>
    </row>
    <row r="10" spans="1:5" ht="32.1" customHeight="1">
      <c r="A10" s="2" t="s">
        <v>1114</v>
      </c>
      <c r="B10" s="3" t="s">
        <v>1115</v>
      </c>
      <c r="C10" s="3" t="s">
        <v>1116</v>
      </c>
      <c r="D10" s="3" t="s">
        <v>1117</v>
      </c>
      <c r="E10" s="3" t="s">
        <v>1118</v>
      </c>
    </row>
    <row r="11" spans="1:5" ht="32.1" customHeight="1">
      <c r="A11" s="4" t="s">
        <v>1119</v>
      </c>
      <c r="B11" s="5" t="s">
        <v>1120</v>
      </c>
      <c r="C11" s="5" t="s">
        <v>1121</v>
      </c>
      <c r="D11" s="5" t="s">
        <v>175</v>
      </c>
      <c r="E11" s="5" t="s">
        <v>1122</v>
      </c>
    </row>
    <row r="12" spans="1:5" ht="32.1" customHeight="1">
      <c r="A12" s="2" t="s">
        <v>1123</v>
      </c>
      <c r="B12" s="3" t="s">
        <v>1124</v>
      </c>
      <c r="C12" s="3" t="s">
        <v>1125</v>
      </c>
      <c r="D12" s="3" t="s">
        <v>1126</v>
      </c>
      <c r="E12" s="3" t="s">
        <v>1127</v>
      </c>
    </row>
    <row r="13" spans="1:5" ht="32.1" customHeight="1">
      <c r="A13" s="4" t="s">
        <v>1128</v>
      </c>
      <c r="B13" s="5" t="s">
        <v>216</v>
      </c>
      <c r="C13" s="5" t="s">
        <v>1129</v>
      </c>
      <c r="D13" s="5" t="s">
        <v>197</v>
      </c>
      <c r="E13" s="5" t="s">
        <v>1130</v>
      </c>
    </row>
    <row r="14" spans="1:5" ht="32.1" customHeight="1">
      <c r="A14" s="2" t="s">
        <v>1131</v>
      </c>
      <c r="B14" s="3" t="s">
        <v>1132</v>
      </c>
      <c r="C14" s="3" t="s">
        <v>1133</v>
      </c>
      <c r="D14" s="3" t="s">
        <v>197</v>
      </c>
      <c r="E14" s="3" t="s">
        <v>1134</v>
      </c>
    </row>
    <row r="15" spans="1:5" ht="32.1" customHeight="1">
      <c r="A15" s="4" t="s">
        <v>1135</v>
      </c>
      <c r="B15" s="5" t="s">
        <v>1136</v>
      </c>
      <c r="C15" s="5" t="s">
        <v>1137</v>
      </c>
      <c r="D15" s="5" t="s">
        <v>197</v>
      </c>
      <c r="E15" s="5" t="s">
        <v>1138</v>
      </c>
    </row>
    <row r="16" spans="1:5" ht="32.1" customHeight="1">
      <c r="A16" s="2" t="s">
        <v>1139</v>
      </c>
      <c r="B16" s="3" t="s">
        <v>1140</v>
      </c>
      <c r="C16" s="3" t="s">
        <v>1141</v>
      </c>
      <c r="D16" s="3" t="s">
        <v>1142</v>
      </c>
      <c r="E16" s="3" t="s">
        <v>1143</v>
      </c>
    </row>
    <row r="17" spans="1:5" ht="32.1" customHeight="1">
      <c r="A17" s="4" t="s">
        <v>1144</v>
      </c>
      <c r="B17" s="5" t="s">
        <v>1145</v>
      </c>
      <c r="C17" s="5" t="s">
        <v>1146</v>
      </c>
      <c r="D17" s="5" t="s">
        <v>1147</v>
      </c>
      <c r="E17" s="5" t="s">
        <v>1148</v>
      </c>
    </row>
    <row r="18" spans="1:5" ht="32.1" customHeight="1">
      <c r="A18" s="2" t="s">
        <v>1149</v>
      </c>
      <c r="B18" s="3" t="s">
        <v>1150</v>
      </c>
      <c r="C18" s="3" t="s">
        <v>1151</v>
      </c>
      <c r="D18" s="3" t="s">
        <v>1152</v>
      </c>
      <c r="E18" s="3" t="s">
        <v>1153</v>
      </c>
    </row>
    <row r="19" spans="1:5" ht="32.1" customHeight="1">
      <c r="A19" s="4" t="s">
        <v>1154</v>
      </c>
      <c r="B19" s="5" t="s">
        <v>1155</v>
      </c>
      <c r="C19" s="5" t="s">
        <v>1156</v>
      </c>
      <c r="D19" s="5" t="s">
        <v>1157</v>
      </c>
      <c r="E19" s="5" t="s">
        <v>1158</v>
      </c>
    </row>
    <row r="20" spans="1:5" ht="57.95" customHeight="1">
      <c r="A20" s="2" t="s">
        <v>1159</v>
      </c>
      <c r="B20" s="3" t="s">
        <v>1160</v>
      </c>
      <c r="C20" s="3" t="s">
        <v>1161</v>
      </c>
      <c r="D20" s="3" t="s">
        <v>1162</v>
      </c>
      <c r="E20" s="3" t="s">
        <v>1163</v>
      </c>
    </row>
    <row r="21" spans="1:5" ht="57.95" customHeight="1">
      <c r="A21" s="2" t="s">
        <v>1164</v>
      </c>
      <c r="B21" s="3" t="s">
        <v>1165</v>
      </c>
      <c r="C21" s="3" t="s">
        <v>1166</v>
      </c>
      <c r="D21" s="3" t="s">
        <v>1167</v>
      </c>
      <c r="E21" s="3" t="s">
        <v>1168</v>
      </c>
    </row>
    <row r="22" spans="1:5" ht="57.95" customHeight="1">
      <c r="A22" s="2" t="s">
        <v>1169</v>
      </c>
      <c r="B22" s="3" t="s">
        <v>1170</v>
      </c>
      <c r="C22" s="3" t="s">
        <v>1171</v>
      </c>
      <c r="D22" s="3" t="s">
        <v>1172</v>
      </c>
      <c r="E22" s="3" t="s">
        <v>1173</v>
      </c>
    </row>
    <row r="23" spans="1:5" ht="57.95" customHeight="1">
      <c r="A23" s="2" t="s">
        <v>1174</v>
      </c>
      <c r="B23" s="3" t="s">
        <v>1175</v>
      </c>
      <c r="C23" s="3" t="s">
        <v>1176</v>
      </c>
      <c r="D23" s="3" t="s">
        <v>1177</v>
      </c>
      <c r="E23" s="3" t="s">
        <v>1178</v>
      </c>
    </row>
    <row r="24" spans="1:5" ht="57.95" customHeight="1">
      <c r="A24" s="2" t="s">
        <v>1179</v>
      </c>
      <c r="B24" s="3" t="s">
        <v>1180</v>
      </c>
      <c r="C24" s="3" t="s">
        <v>1181</v>
      </c>
      <c r="D24" s="3" t="s">
        <v>1162</v>
      </c>
      <c r="E24" s="3" t="s">
        <v>1182</v>
      </c>
    </row>
    <row r="25" spans="1:5" ht="57.95" customHeight="1">
      <c r="A25" s="2" t="s">
        <v>1183</v>
      </c>
      <c r="B25" s="3" t="s">
        <v>1184</v>
      </c>
      <c r="C25" s="3" t="s">
        <v>1185</v>
      </c>
      <c r="D25" s="3" t="s">
        <v>1186</v>
      </c>
      <c r="E25" s="3" t="s">
        <v>1187</v>
      </c>
    </row>
    <row r="26" spans="1:5" ht="72" customHeight="1">
      <c r="A26" s="2" t="s">
        <v>1189</v>
      </c>
      <c r="B26" s="3" t="s">
        <v>1190</v>
      </c>
      <c r="C26" s="3" t="s">
        <v>1191</v>
      </c>
      <c r="D26" s="3" t="s">
        <v>1192</v>
      </c>
      <c r="E26" s="3" t="s">
        <v>1193</v>
      </c>
    </row>
    <row r="27" spans="1:5" ht="72" customHeight="1">
      <c r="A27" s="2" t="s">
        <v>1194</v>
      </c>
      <c r="B27" s="3" t="s">
        <v>1195</v>
      </c>
      <c r="C27" s="3" t="s">
        <v>1196</v>
      </c>
      <c r="D27" s="3" t="s">
        <v>1197</v>
      </c>
      <c r="E27" s="3" t="s">
        <v>1198</v>
      </c>
    </row>
    <row r="28" spans="1:5" ht="72" customHeight="1">
      <c r="A28" s="2" t="s">
        <v>1199</v>
      </c>
      <c r="B28" s="3" t="s">
        <v>1200</v>
      </c>
      <c r="C28" s="3" t="s">
        <v>1201</v>
      </c>
      <c r="D28" s="3" t="s">
        <v>1202</v>
      </c>
      <c r="E28" s="3" t="s">
        <v>1203</v>
      </c>
    </row>
    <row r="29" spans="1:5" ht="72" customHeight="1">
      <c r="A29" s="2" t="s">
        <v>1204</v>
      </c>
      <c r="B29" s="3" t="s">
        <v>1205</v>
      </c>
      <c r="C29" s="3" t="s">
        <v>1206</v>
      </c>
      <c r="D29" s="3" t="s">
        <v>1186</v>
      </c>
      <c r="E29" s="3" t="s">
        <v>1207</v>
      </c>
    </row>
  </sheetData>
  <autoFilter ref="A5:E29" xr:uid="{00000000-0001-0000-0C00-000000000000}"/>
  <mergeCells count="3">
    <mergeCell ref="A2:E2"/>
    <mergeCell ref="A1:E1"/>
    <mergeCell ref="A3:E3"/>
  </mergeCells>
  <phoneticPr fontId="15" type="noConversion"/>
  <hyperlinks>
    <hyperlink ref="A4" location="'00_阅读说明'!A1" display="返回目录" xr:uid="{00000000-0004-0000-0C00-000000000000}"/>
  </hyperlink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13</vt:i4>
      </vt:variant>
      <vt:variant>
        <vt:lpstr>命名范围</vt:lpstr>
      </vt:variant>
      <vt:variant>
        <vt:i4>2</vt:i4>
      </vt:variant>
    </vt:vector>
  </HeadingPairs>
  <TitlesOfParts>
    <vt:vector size="15" baseType="lpstr">
      <vt:lpstr>00_阅读说明</vt:lpstr>
      <vt:lpstr>01_规则台账</vt:lpstr>
      <vt:lpstr>02_乐趣与范围</vt:lpstr>
      <vt:lpstr>03_单人流程</vt:lpstr>
      <vt:lpstr>04_角色操控</vt:lpstr>
      <vt:lpstr>05_Boss规格</vt:lpstr>
      <vt:lpstr>06_外围支援提案</vt:lpstr>
      <vt:lpstr>07_物品与箱子</vt:lpstr>
      <vt:lpstr>08_开发任务</vt:lpstr>
      <vt:lpstr>09_验收用例</vt:lpstr>
      <vt:lpstr>10_试玩记录</vt:lpstr>
      <vt:lpstr>11_参数与进度</vt:lpstr>
      <vt:lpstr>12_决策与变更</vt:lpstr>
      <vt:lpstr>'11_参数与进度'!Print_Area</vt:lpstr>
      <vt:lpstr>'12_决策与变更'!Print_Area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敏 干脆</cp:lastModifiedBy>
  <dcterms:modified xsi:type="dcterms:W3CDTF">2026-09-07T10:20:42Z</dcterms:modified>
</cp:coreProperties>
</file>